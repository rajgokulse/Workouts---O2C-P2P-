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36c3fdf2e997d6b/Documents/"/>
    </mc:Choice>
  </mc:AlternateContent>
  <xr:revisionPtr revIDLastSave="5" documentId="8_{12F81EF3-8F77-47ED-B2DD-878C1E251663}" xr6:coauthVersionLast="47" xr6:coauthVersionMax="47" xr10:uidLastSave="{8083169A-8224-4BD8-8911-886E27251FFE}"/>
  <bookViews>
    <workbookView xWindow="-108" yWindow="-108" windowWidth="23256" windowHeight="12456" firstSheet="2" activeTab="6" xr2:uid="{C640451A-444F-42B2-B74E-D7DF27F31064}"/>
  </bookViews>
  <sheets>
    <sheet name="CUSTOMER PIVOT TABLE " sheetId="7" r:id="rId1"/>
    <sheet name="SALES ORDER  PIVOT TABLE" sheetId="10" r:id="rId2"/>
    <sheet name="SALES ORDER DATA" sheetId="12" r:id="rId3"/>
    <sheet name="Customer_Master" sheetId="1" r:id="rId4"/>
    <sheet name="DELIVERY DATA" sheetId="8" r:id="rId5"/>
    <sheet name="INVOICE &amp; RECEIPT" sheetId="4" r:id="rId6"/>
    <sheet name="Dashboard" sheetId="6" r:id="rId7"/>
  </sheets>
  <definedNames>
    <definedName name="_xlnm._FilterDatabase" localSheetId="3" hidden="1">Customer_Master!$A$1:$G$6</definedName>
  </definedNames>
  <calcPr calcId="191029"/>
  <pivotCaches>
    <pivotCache cacheId="0" r:id="rId8"/>
    <pivotCache cacheId="1" r:id="rId9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3" i="12" l="1"/>
  <c r="H2" i="12"/>
  <c r="H4" i="12"/>
  <c r="H5" i="12"/>
  <c r="H6" i="12"/>
  <c r="F11" i="4"/>
  <c r="F10" i="4"/>
  <c r="F9" i="4"/>
  <c r="G6" i="12"/>
  <c r="G5" i="12"/>
  <c r="G4" i="12"/>
  <c r="G3" i="12"/>
  <c r="G2" i="12"/>
  <c r="F6" i="8"/>
  <c r="F5" i="8"/>
  <c r="F4" i="8"/>
  <c r="F3" i="8"/>
  <c r="F2" i="8"/>
  <c r="F5" i="4"/>
  <c r="F4" i="4"/>
  <c r="F3" i="4"/>
  <c r="F2" i="4"/>
</calcChain>
</file>

<file path=xl/sharedStrings.xml><?xml version="1.0" encoding="utf-8"?>
<sst xmlns="http://schemas.openxmlformats.org/spreadsheetml/2006/main" count="151" uniqueCount="86">
  <si>
    <t xml:space="preserve"> Customer_Name     </t>
  </si>
  <si>
    <t>Customer_ID</t>
  </si>
  <si>
    <t xml:space="preserve">Payment_Terms </t>
  </si>
  <si>
    <t xml:space="preserve"> GSTIN           </t>
  </si>
  <si>
    <t>Status</t>
  </si>
  <si>
    <t xml:space="preserve">State       </t>
  </si>
  <si>
    <t>C001</t>
  </si>
  <si>
    <t>33ABCDE1234F1Z1</t>
  </si>
  <si>
    <t>Active</t>
  </si>
  <si>
    <t xml:space="preserve"> Credit_Limit  </t>
  </si>
  <si>
    <t>C002</t>
  </si>
  <si>
    <t>29PQRSX5678L1Z2</t>
  </si>
  <si>
    <t>Karnataka</t>
  </si>
  <si>
    <t>C003</t>
  </si>
  <si>
    <t>Kaveri Distributors</t>
  </si>
  <si>
    <t>33LMNOP4321Q1Z9</t>
  </si>
  <si>
    <t>Tamil Nadu</t>
  </si>
  <si>
    <t>C004</t>
  </si>
  <si>
    <t>Royal Agencies</t>
  </si>
  <si>
    <t>32QWERT9988A1Z3</t>
  </si>
  <si>
    <t>Kerala</t>
  </si>
  <si>
    <t>Blocked</t>
  </si>
  <si>
    <t>C005</t>
  </si>
  <si>
    <t>Metro Wholesale</t>
  </si>
  <si>
    <t>27ZXCVB6677K1Z5</t>
  </si>
  <si>
    <t>Maharashtra</t>
  </si>
  <si>
    <t>ABC Traders</t>
  </si>
  <si>
    <t>Sri  Ganesh Enterprises</t>
  </si>
  <si>
    <t>Order_ID</t>
  </si>
  <si>
    <t>Order_Date</t>
  </si>
  <si>
    <t>Product</t>
  </si>
  <si>
    <t>Quantity</t>
  </si>
  <si>
    <t>Rate</t>
  </si>
  <si>
    <t>Order_Value</t>
  </si>
  <si>
    <t>Credit_Status</t>
  </si>
  <si>
    <t>SO1001</t>
  </si>
  <si>
    <t>Printer</t>
  </si>
  <si>
    <t>SO1002</t>
  </si>
  <si>
    <t>Monitor</t>
  </si>
  <si>
    <t>SO1003</t>
  </si>
  <si>
    <t>Keyboard</t>
  </si>
  <si>
    <t>SO1004</t>
  </si>
  <si>
    <t>Laptop</t>
  </si>
  <si>
    <t>SO1005</t>
  </si>
  <si>
    <t>Router</t>
  </si>
  <si>
    <t>Delivery_ID</t>
  </si>
  <si>
    <t>Delivery_Date</t>
  </si>
  <si>
    <t>Delivered_Qty</t>
  </si>
  <si>
    <t>Delivery_Status</t>
  </si>
  <si>
    <t>D001</t>
  </si>
  <si>
    <t>D002</t>
  </si>
  <si>
    <t>D003</t>
  </si>
  <si>
    <t>D004</t>
  </si>
  <si>
    <t>D005</t>
  </si>
  <si>
    <t>Invoice_No</t>
  </si>
  <si>
    <t>Invoice_Date</t>
  </si>
  <si>
    <t>Invoice_Amount</t>
  </si>
  <si>
    <t>Due_Date</t>
  </si>
  <si>
    <t>Payment_Status</t>
  </si>
  <si>
    <t>INV001</t>
  </si>
  <si>
    <t>Open</t>
  </si>
  <si>
    <t>INV002</t>
  </si>
  <si>
    <t>Partially Paid</t>
  </si>
  <si>
    <t>INV003</t>
  </si>
  <si>
    <t>INV004</t>
  </si>
  <si>
    <t>Paid</t>
  </si>
  <si>
    <t>Receipt_ID</t>
  </si>
  <si>
    <t>Receipt_Date</t>
  </si>
  <si>
    <t>Amount_Received</t>
  </si>
  <si>
    <t>Mode</t>
  </si>
  <si>
    <t>R001</t>
  </si>
  <si>
    <t>NEFT</t>
  </si>
  <si>
    <t>R002</t>
  </si>
  <si>
    <t>RTGS</t>
  </si>
  <si>
    <t>R003</t>
  </si>
  <si>
    <t>UPI</t>
  </si>
  <si>
    <t>Ordered_Qty</t>
  </si>
  <si>
    <t>Outstanding Amount</t>
  </si>
  <si>
    <t>Row Labels</t>
  </si>
  <si>
    <t>Grand Total</t>
  </si>
  <si>
    <t xml:space="preserve">Sum of  Credit_Limit  </t>
  </si>
  <si>
    <t xml:space="preserve">Sum of Payment_Terms </t>
  </si>
  <si>
    <t>(All)</t>
  </si>
  <si>
    <t>Sum of Quantity</t>
  </si>
  <si>
    <t>Sum of Rate</t>
  </si>
  <si>
    <t>Approved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</si>
</sst>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rgb="FF0A0A0A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0" xfId="0" applyNumberFormat="1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1" fillId="0" borderId="0" xfId="0" applyFont="1"/>
  </cellXfs>
  <cellStyles count="1">
    <cellStyle name="Normal" xfId="0" builtinId="0"/>
  </cellStyles>
  <dxfs count="6"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A0A0A"/>
        <name val="Arial"/>
        <family val="2"/>
        <scheme val="none"/>
      </font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[Order to cash Workout.xlsx]CUSTOMER PIVOT TABLE !PivotTable1</c:name>
    <c:fmtId val="9"/>
  </c:pivotSource>
  <c:chart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'CUSTOMER PIVOT TABLE '!$B$6</c:f>
              <c:strCache>
                <c:ptCount val="1"/>
                <c:pt idx="0">
                  <c:v>Sum of  Credit_Limit  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'CUSTOMER PIVOT TABLE '!$A$7:$A$17</c:f>
              <c:multiLvlStrCache>
                <c:ptCount val="5"/>
                <c:lvl>
                  <c:pt idx="0">
                    <c:v>C001</c:v>
                  </c:pt>
                  <c:pt idx="1">
                    <c:v>C003</c:v>
                  </c:pt>
                  <c:pt idx="2">
                    <c:v>C005</c:v>
                  </c:pt>
                  <c:pt idx="3">
                    <c:v>C004</c:v>
                  </c:pt>
                  <c:pt idx="4">
                    <c:v>C002</c:v>
                  </c:pt>
                </c:lvl>
                <c:lvl>
                  <c:pt idx="0">
                    <c:v>ABC Traders</c:v>
                  </c:pt>
                  <c:pt idx="1">
                    <c:v>Kaveri Distributors</c:v>
                  </c:pt>
                  <c:pt idx="2">
                    <c:v>Metro Wholesale</c:v>
                  </c:pt>
                  <c:pt idx="3">
                    <c:v>Royal Agencies</c:v>
                  </c:pt>
                  <c:pt idx="4">
                    <c:v>Sri  Ganesh Enterprises</c:v>
                  </c:pt>
                </c:lvl>
              </c:multiLvlStrCache>
            </c:multiLvlStrRef>
          </c:cat>
          <c:val>
            <c:numRef>
              <c:f>'CUSTOMER PIVOT TABLE '!$B$7:$B$17</c:f>
              <c:numCache>
                <c:formatCode>General</c:formatCode>
                <c:ptCount val="5"/>
                <c:pt idx="0">
                  <c:v>500000</c:v>
                </c:pt>
                <c:pt idx="1">
                  <c:v>200000</c:v>
                </c:pt>
                <c:pt idx="2">
                  <c:v>600000</c:v>
                </c:pt>
                <c:pt idx="3">
                  <c:v>150000</c:v>
                </c:pt>
                <c:pt idx="4">
                  <c:v>300000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355-49EF-9DAB-F558FFCC8507}"/>
            </c:ext>
          </c:extLst>
        </c:ser>
        <c:ser>
          <c:idx val="1"/>
          <c:order val="1"/>
          <c:tx>
            <c:strRef>
              <c:f>'CUSTOMER PIVOT TABLE '!$C$6</c:f>
              <c:strCache>
                <c:ptCount val="1"/>
                <c:pt idx="0">
                  <c:v>Sum of Payment_Terms 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multiLvlStrRef>
              <c:f>'CUSTOMER PIVOT TABLE '!$A$7:$A$17</c:f>
              <c:multiLvlStrCache>
                <c:ptCount val="5"/>
                <c:lvl>
                  <c:pt idx="0">
                    <c:v>C001</c:v>
                  </c:pt>
                  <c:pt idx="1">
                    <c:v>C003</c:v>
                  </c:pt>
                  <c:pt idx="2">
                    <c:v>C005</c:v>
                  </c:pt>
                  <c:pt idx="3">
                    <c:v>C004</c:v>
                  </c:pt>
                  <c:pt idx="4">
                    <c:v>C002</c:v>
                  </c:pt>
                </c:lvl>
                <c:lvl>
                  <c:pt idx="0">
                    <c:v>ABC Traders</c:v>
                  </c:pt>
                  <c:pt idx="1">
                    <c:v>Kaveri Distributors</c:v>
                  </c:pt>
                  <c:pt idx="2">
                    <c:v>Metro Wholesale</c:v>
                  </c:pt>
                  <c:pt idx="3">
                    <c:v>Royal Agencies</c:v>
                  </c:pt>
                  <c:pt idx="4">
                    <c:v>Sri  Ganesh Enterprises</c:v>
                  </c:pt>
                </c:lvl>
              </c:multiLvlStrCache>
            </c:multiLvlStrRef>
          </c:cat>
          <c:val>
            <c:numRef>
              <c:f>'CUSTOMER PIVOT TABLE '!$C$7:$C$17</c:f>
              <c:numCache>
                <c:formatCode>General</c:formatCode>
                <c:ptCount val="5"/>
                <c:pt idx="0">
                  <c:v>30</c:v>
                </c:pt>
                <c:pt idx="1">
                  <c:v>60</c:v>
                </c:pt>
                <c:pt idx="2">
                  <c:v>45</c:v>
                </c:pt>
                <c:pt idx="3">
                  <c:v>30</c:v>
                </c:pt>
                <c:pt idx="4">
                  <c:v>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355-49EF-9DAB-F558FFCC85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2221743"/>
        <c:axId val="42221263"/>
      </c:barChart>
      <c:catAx>
        <c:axId val="422217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221263"/>
        <c:crosses val="autoZero"/>
        <c:auto val="1"/>
        <c:lblAlgn val="ctr"/>
        <c:lblOffset val="100"/>
        <c:noMultiLvlLbl val="0"/>
      </c:catAx>
      <c:valAx>
        <c:axId val="422212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2217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[Order to cash Workout.xlsx]SALES ORDER  PIVOT TABLE!PivotTable3</c:name>
    <c:fmtId val="6"/>
  </c:pivotSource>
  <c:chart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8.3442229295806095E-2"/>
          <c:y val="0.16388576427946508"/>
          <c:w val="0.70823124336851506"/>
          <c:h val="0.6354658792650919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'SALES ORDER  PIVOT TABLE'!$B$6</c:f>
              <c:strCache>
                <c:ptCount val="1"/>
                <c:pt idx="0">
                  <c:v>Sum of Quantity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multiLvlStrRef>
              <c:f>'SALES ORDER  PIVOT TABLE'!$A$7:$A$17</c:f>
              <c:multiLvlStrCache>
                <c:ptCount val="5"/>
                <c:lvl>
                  <c:pt idx="0">
                    <c:v>Printer</c:v>
                  </c:pt>
                  <c:pt idx="1">
                    <c:v>Monitor</c:v>
                  </c:pt>
                  <c:pt idx="2">
                    <c:v>Keyboard</c:v>
                  </c:pt>
                  <c:pt idx="3">
                    <c:v>Laptop</c:v>
                  </c:pt>
                  <c:pt idx="4">
                    <c:v>Router</c:v>
                  </c:pt>
                </c:lvl>
                <c:lvl>
                  <c:pt idx="0">
                    <c:v>C001</c:v>
                  </c:pt>
                  <c:pt idx="1">
                    <c:v>C002</c:v>
                  </c:pt>
                  <c:pt idx="2">
                    <c:v>C003</c:v>
                  </c:pt>
                  <c:pt idx="3">
                    <c:v>C004</c:v>
                  </c:pt>
                  <c:pt idx="4">
                    <c:v>C005</c:v>
                  </c:pt>
                </c:lvl>
              </c:multiLvlStrCache>
            </c:multiLvlStrRef>
          </c:cat>
          <c:val>
            <c:numRef>
              <c:f>'SALES ORDER  PIVOT TABLE'!$B$7:$B$17</c:f>
              <c:numCache>
                <c:formatCode>General</c:formatCode>
                <c:ptCount val="5"/>
                <c:pt idx="0">
                  <c:v>10</c:v>
                </c:pt>
                <c:pt idx="1">
                  <c:v>15</c:v>
                </c:pt>
                <c:pt idx="2">
                  <c:v>50</c:v>
                </c:pt>
                <c:pt idx="3">
                  <c:v>5</c:v>
                </c:pt>
                <c:pt idx="4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7A7-4B22-AD12-B4B55191F22F}"/>
            </c:ext>
          </c:extLst>
        </c:ser>
        <c:ser>
          <c:idx val="1"/>
          <c:order val="1"/>
          <c:tx>
            <c:strRef>
              <c:f>'SALES ORDER  PIVOT TABLE'!$C$6</c:f>
              <c:strCache>
                <c:ptCount val="1"/>
                <c:pt idx="0">
                  <c:v>Sum of Rate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'SALES ORDER  PIVOT TABLE'!$A$7:$A$17</c:f>
              <c:multiLvlStrCache>
                <c:ptCount val="5"/>
                <c:lvl>
                  <c:pt idx="0">
                    <c:v>Printer</c:v>
                  </c:pt>
                  <c:pt idx="1">
                    <c:v>Monitor</c:v>
                  </c:pt>
                  <c:pt idx="2">
                    <c:v>Keyboard</c:v>
                  </c:pt>
                  <c:pt idx="3">
                    <c:v>Laptop</c:v>
                  </c:pt>
                  <c:pt idx="4">
                    <c:v>Router</c:v>
                  </c:pt>
                </c:lvl>
                <c:lvl>
                  <c:pt idx="0">
                    <c:v>C001</c:v>
                  </c:pt>
                  <c:pt idx="1">
                    <c:v>C002</c:v>
                  </c:pt>
                  <c:pt idx="2">
                    <c:v>C003</c:v>
                  </c:pt>
                  <c:pt idx="3">
                    <c:v>C004</c:v>
                  </c:pt>
                  <c:pt idx="4">
                    <c:v>C005</c:v>
                  </c:pt>
                </c:lvl>
              </c:multiLvlStrCache>
            </c:multiLvlStrRef>
          </c:cat>
          <c:val>
            <c:numRef>
              <c:f>'SALES ORDER  PIVOT TABLE'!$C$7:$C$17</c:f>
              <c:numCache>
                <c:formatCode>General</c:formatCode>
                <c:ptCount val="5"/>
                <c:pt idx="0">
                  <c:v>12000</c:v>
                </c:pt>
                <c:pt idx="1">
                  <c:v>9000</c:v>
                </c:pt>
                <c:pt idx="2">
                  <c:v>800</c:v>
                </c:pt>
                <c:pt idx="3">
                  <c:v>55000</c:v>
                </c:pt>
                <c:pt idx="4">
                  <c:v>6500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7A7-4B22-AD12-B4B55191F2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731019935"/>
        <c:axId val="110901151"/>
      </c:barChart>
      <c:catAx>
        <c:axId val="7310199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901151"/>
        <c:crosses val="autoZero"/>
        <c:auto val="1"/>
        <c:lblAlgn val="ctr"/>
        <c:lblOffset val="100"/>
        <c:noMultiLvlLbl val="0"/>
      </c:catAx>
      <c:valAx>
        <c:axId val="1109011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10199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ivotFmts>
      <c:pivotFmt>
        <c:idx val="0"/>
        <c:spPr>
          <a:solidFill>
            <a:schemeClr val="accent1"/>
          </a:solidFill>
          <a:ln w="28575" cap="rnd" cmpd="sng" algn="ctr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 cmpd="sng" algn="ctr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noFill/>
          <a:ln w="28575" cap="rnd" cmpd="sng" algn="ctr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noFill/>
          <a:ln w="28575" cap="rnd" cmpd="sng" algn="ctr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noFill/>
          <a:ln w="22225" cap="rnd" cmpd="sng" algn="ctr">
            <a:solidFill>
              <a:schemeClr val="accent1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noFill/>
          <a:ln w="22225" cap="rnd" cmpd="sng" algn="ctr">
            <a:solidFill>
              <a:schemeClr val="accent1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cked"/>
        <c:varyColors val="0"/>
        <c:ser>
          <c:idx val="0"/>
          <c:order val="0"/>
          <c:tx>
            <c:v>Sum of Delivered_Qty</c:v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5"/>
              <c:pt idx="0">
                <c:v>D001</c:v>
              </c:pt>
              <c:pt idx="1">
                <c:v>D002</c:v>
              </c:pt>
              <c:pt idx="2">
                <c:v>D003</c:v>
              </c:pt>
              <c:pt idx="3">
                <c:v>D004</c:v>
              </c:pt>
              <c:pt idx="4">
                <c:v>D005</c:v>
              </c:pt>
            </c:strLit>
          </c:cat>
          <c:val>
            <c:numLit>
              <c:formatCode>General</c:formatCode>
              <c:ptCount val="5"/>
              <c:pt idx="0">
                <c:v>10</c:v>
              </c:pt>
              <c:pt idx="1">
                <c:v>15</c:v>
              </c:pt>
              <c:pt idx="2">
                <c:v>40</c:v>
              </c:pt>
              <c:pt idx="3">
                <c:v>0</c:v>
              </c:pt>
              <c:pt idx="4">
                <c:v>20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3379-4490-A773-874B6E6187AE}"/>
            </c:ext>
          </c:extLst>
        </c:ser>
        <c:ser>
          <c:idx val="1"/>
          <c:order val="1"/>
          <c:tx>
            <c:v>Sum of Ordered_Qty</c:v>
          </c:tx>
          <c:spPr>
            <a:ln w="22225" cap="rnd">
              <a:solidFill>
                <a:schemeClr val="bg1"/>
              </a:solidFill>
            </a:ln>
            <a:effectLst>
              <a:outerShdw blurRad="38100" dist="50800" dir="5400000" sx="2000" sy="2000" algn="ctr" rotWithShape="0">
                <a:srgbClr val="000000">
                  <a:alpha val="43137"/>
                </a:srgb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5"/>
              <c:pt idx="0">
                <c:v>D001</c:v>
              </c:pt>
              <c:pt idx="1">
                <c:v>D002</c:v>
              </c:pt>
              <c:pt idx="2">
                <c:v>D003</c:v>
              </c:pt>
              <c:pt idx="3">
                <c:v>D004</c:v>
              </c:pt>
              <c:pt idx="4">
                <c:v>D005</c:v>
              </c:pt>
            </c:strLit>
          </c:cat>
          <c:val>
            <c:numLit>
              <c:formatCode>General</c:formatCode>
              <c:ptCount val="5"/>
              <c:pt idx="0">
                <c:v>10</c:v>
              </c:pt>
              <c:pt idx="1">
                <c:v>15</c:v>
              </c:pt>
              <c:pt idx="2">
                <c:v>50</c:v>
              </c:pt>
              <c:pt idx="3">
                <c:v>5</c:v>
              </c:pt>
              <c:pt idx="4">
                <c:v>20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1-3379-4490-A773-874B6E6187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83881231"/>
        <c:axId val="883879791"/>
      </c:lineChart>
      <c:catAx>
        <c:axId val="883881231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3879791"/>
        <c:crosses val="autoZero"/>
        <c:auto val="1"/>
        <c:lblAlgn val="ctr"/>
        <c:lblOffset val="100"/>
        <c:noMultiLvlLbl val="0"/>
      </c:catAx>
      <c:valAx>
        <c:axId val="883879791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38812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0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0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60960</xdr:rowOff>
    </xdr:from>
    <xdr:to>
      <xdr:col>8</xdr:col>
      <xdr:colOff>350520</xdr:colOff>
      <xdr:row>20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F2DD0AF-8F96-44EE-AF49-6CAD50AC27D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22860</xdr:colOff>
      <xdr:row>0</xdr:row>
      <xdr:rowOff>0</xdr:rowOff>
    </xdr:from>
    <xdr:to>
      <xdr:col>18</xdr:col>
      <xdr:colOff>266700</xdr:colOff>
      <xdr:row>21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1881BD6-2DB9-47A4-8B9C-4FA26570652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30480</xdr:colOff>
      <xdr:row>24</xdr:row>
      <xdr:rowOff>15240</xdr:rowOff>
    </xdr:from>
    <xdr:to>
      <xdr:col>14</xdr:col>
      <xdr:colOff>190500</xdr:colOff>
      <xdr:row>42</xdr:row>
      <xdr:rowOff>30480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EFC66BD-178A-41A6-9BFA-3B76310C5A2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aj gokul" refreshedDate="46006.674168518519" createdVersion="8" refreshedVersion="8" minRefreshableVersion="3" recordCount="5" xr:uid="{825E1278-ECDE-4388-AA78-9691980C420A}">
  <cacheSource type="worksheet">
    <worksheetSource ref="A1:G6" sheet="Customer_Master"/>
  </cacheSource>
  <cacheFields count="7">
    <cacheField name="Customer_ID" numFmtId="0">
      <sharedItems count="5">
        <s v="C001"/>
        <s v="C002"/>
        <s v="C003"/>
        <s v="C004"/>
        <s v="C005"/>
      </sharedItems>
    </cacheField>
    <cacheField name=" Customer_Name     " numFmtId="0">
      <sharedItems count="5">
        <s v="ABC Traders"/>
        <s v="Sri  Ganesh Enterprises"/>
        <s v="Kaveri Distributors"/>
        <s v="Royal Agencies"/>
        <s v="Metro Wholesale"/>
      </sharedItems>
    </cacheField>
    <cacheField name=" Credit_Limit  " numFmtId="0">
      <sharedItems containsSemiMixedTypes="0" containsString="0" containsNumber="1" containsInteger="1" minValue="150000" maxValue="600000" count="5">
        <n v="500000"/>
        <n v="300000"/>
        <n v="200000"/>
        <n v="150000"/>
        <n v="600000"/>
      </sharedItems>
    </cacheField>
    <cacheField name="Payment_Terms " numFmtId="0">
      <sharedItems containsSemiMixedTypes="0" containsString="0" containsNumber="1" containsInteger="1" minValue="30" maxValue="60" count="3">
        <n v="30"/>
        <n v="45"/>
        <n v="60"/>
      </sharedItems>
    </cacheField>
    <cacheField name=" GSTIN           " numFmtId="0">
      <sharedItems count="5">
        <s v="33ABCDE1234F1Z1"/>
        <s v="29PQRSX5678L1Z2"/>
        <s v="33LMNOP4321Q1Z9"/>
        <s v="32QWERT9988A1Z3"/>
        <s v="27ZXCVB6677K1Z5"/>
      </sharedItems>
    </cacheField>
    <cacheField name="State       " numFmtId="0">
      <sharedItems count="4">
        <s v="Tamil Nadu"/>
        <s v="Karnataka"/>
        <s v="Kerala"/>
        <s v="Maharashtra"/>
      </sharedItems>
    </cacheField>
    <cacheField name="Status" numFmtId="0">
      <sharedItems count="2">
        <s v="Active"/>
        <s v="Blocked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aj gokul" refreshedDate="46006.68184085648" createdVersion="8" refreshedVersion="8" minRefreshableVersion="3" recordCount="5" xr:uid="{AA587C53-684D-4EAD-926A-947980F086F0}">
  <cacheSource type="worksheet">
    <worksheetSource ref="A10:H15" sheet="Customer_Master"/>
  </cacheSource>
  <cacheFields count="8">
    <cacheField name="Order_ID" numFmtId="0">
      <sharedItems count="5">
        <s v="SO1001"/>
        <s v="SO1002"/>
        <s v="SO1003"/>
        <s v="SO1004"/>
        <s v="SO1005"/>
      </sharedItems>
    </cacheField>
    <cacheField name="Order_Date" numFmtId="14">
      <sharedItems containsSemiMixedTypes="0" containsNonDate="0" containsDate="1" containsString="0" minDate="2025-06-01T00:00:00" maxDate="2025-06-09T00:00:00" count="5">
        <d v="2025-06-01T00:00:00"/>
        <d v="2025-06-03T00:00:00"/>
        <d v="2025-06-05T00:00:00"/>
        <d v="2025-06-06T00:00:00"/>
        <d v="2025-06-08T00:00:00"/>
      </sharedItems>
    </cacheField>
    <cacheField name="Customer_ID" numFmtId="0">
      <sharedItems count="5">
        <s v="C001"/>
        <s v="C002"/>
        <s v="C003"/>
        <s v="C004"/>
        <s v="C005"/>
      </sharedItems>
    </cacheField>
    <cacheField name="Product" numFmtId="0">
      <sharedItems count="5">
        <s v="Printer"/>
        <s v="Monitor"/>
        <s v="Keyboard"/>
        <s v="Laptop"/>
        <s v="Router"/>
      </sharedItems>
    </cacheField>
    <cacheField name="Quantity" numFmtId="0">
      <sharedItems containsSemiMixedTypes="0" containsString="0" containsNumber="1" containsInteger="1" minValue="5" maxValue="50" count="5">
        <n v="10"/>
        <n v="15"/>
        <n v="50"/>
        <n v="5"/>
        <n v="20"/>
      </sharedItems>
    </cacheField>
    <cacheField name="Rate" numFmtId="0">
      <sharedItems containsSemiMixedTypes="0" containsString="0" containsNumber="1" containsInteger="1" minValue="800" maxValue="55000"/>
    </cacheField>
    <cacheField name="Order_Value" numFmtId="0">
      <sharedItems containsSemiMixedTypes="0" containsString="0" containsNumber="1" containsInteger="1" minValue="40000" maxValue="275000" count="5">
        <n v="120000"/>
        <n v="135000"/>
        <n v="40000"/>
        <n v="275000"/>
        <n v="130000"/>
      </sharedItems>
    </cacheField>
    <cacheField name="Credit_Status" numFmtId="0">
      <sharedItems count="1">
        <s v="Approved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">
  <r>
    <s v="C001"/>
    <s v="ABC Traders"/>
    <n v="500000"/>
    <n v="30"/>
    <s v="33ABCDE1234F1Z1"/>
    <s v="Tamil Nadu"/>
    <s v="Active"/>
  </r>
  <r>
    <s v="C002"/>
    <s v="Sri  Ganesh Enterprises"/>
    <n v="300000"/>
    <n v="45"/>
    <s v="29PQRSX5678L1Z2"/>
    <s v="Karnataka"/>
    <s v="Active"/>
  </r>
  <r>
    <s v="C003"/>
    <s v="Kaveri Distributors"/>
    <n v="200000"/>
    <n v="60"/>
    <s v="33LMNOP4321Q1Z9"/>
    <s v="Tamil Nadu"/>
    <s v="Active"/>
  </r>
  <r>
    <s v="C004"/>
    <s v="Royal Agencies"/>
    <n v="150000"/>
    <n v="30"/>
    <s v="32QWERT9988A1Z3"/>
    <s v="Kerala"/>
    <s v="Blocked"/>
  </r>
  <r>
    <s v="C005"/>
    <s v="Metro Wholesale"/>
    <n v="600000"/>
    <n v="45"/>
    <s v="27ZXCVB6677K1Z5"/>
    <s v="Maharashtra"/>
    <s v="Active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">
  <r>
    <x v="0"/>
    <x v="0"/>
    <x v="0"/>
    <x v="0"/>
    <x v="0"/>
    <n v="12000"/>
    <x v="0"/>
    <x v="0"/>
  </r>
  <r>
    <x v="1"/>
    <x v="1"/>
    <x v="1"/>
    <x v="1"/>
    <x v="1"/>
    <n v="9000"/>
    <x v="1"/>
    <x v="0"/>
  </r>
  <r>
    <x v="2"/>
    <x v="2"/>
    <x v="2"/>
    <x v="2"/>
    <x v="2"/>
    <n v="800"/>
    <x v="2"/>
    <x v="0"/>
  </r>
  <r>
    <x v="3"/>
    <x v="3"/>
    <x v="3"/>
    <x v="3"/>
    <x v="3"/>
    <n v="55000"/>
    <x v="3"/>
    <x v="0"/>
  </r>
  <r>
    <x v="4"/>
    <x v="4"/>
    <x v="4"/>
    <x v="4"/>
    <x v="4"/>
    <n v="6500"/>
    <x v="4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B576CC2-631F-4DD2-B319-90B04D475FBB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2">
  <location ref="A6:C17" firstHeaderRow="0" firstDataRow="1" firstDataCol="1" rowPageCount="3" colPageCount="1"/>
  <pivotFields count="7">
    <pivotField axis="axisRow" showAll="0">
      <items count="6">
        <item x="0"/>
        <item x="1"/>
        <item x="2"/>
        <item x="3"/>
        <item x="4"/>
        <item t="default"/>
      </items>
    </pivotField>
    <pivotField axis="axisRow" showAll="0">
      <items count="6">
        <item x="0"/>
        <item x="2"/>
        <item x="4"/>
        <item x="3"/>
        <item x="1"/>
        <item t="default"/>
      </items>
    </pivotField>
    <pivotField dataField="1" showAll="0">
      <items count="6">
        <item x="3"/>
        <item x="2"/>
        <item x="1"/>
        <item x="0"/>
        <item x="4"/>
        <item t="default"/>
      </items>
    </pivotField>
    <pivotField dataField="1" showAll="0">
      <items count="4">
        <item x="0"/>
        <item x="1"/>
        <item x="2"/>
        <item t="default"/>
      </items>
    </pivotField>
    <pivotField axis="axisPage" showAll="0">
      <items count="6">
        <item x="4"/>
        <item x="1"/>
        <item x="3"/>
        <item x="0"/>
        <item x="2"/>
        <item t="default"/>
      </items>
    </pivotField>
    <pivotField axis="axisPage" showAll="0">
      <items count="5">
        <item x="1"/>
        <item x="2"/>
        <item x="3"/>
        <item x="0"/>
        <item t="default"/>
      </items>
    </pivotField>
    <pivotField axis="axisPage" showAll="0">
      <items count="3">
        <item x="0"/>
        <item x="1"/>
        <item t="default"/>
      </items>
    </pivotField>
  </pivotFields>
  <rowFields count="2">
    <field x="1"/>
    <field x="0"/>
  </rowFields>
  <rowItems count="11">
    <i>
      <x/>
    </i>
    <i r="1">
      <x/>
    </i>
    <i>
      <x v="1"/>
    </i>
    <i r="1">
      <x v="2"/>
    </i>
    <i>
      <x v="2"/>
    </i>
    <i r="1">
      <x v="4"/>
    </i>
    <i>
      <x v="3"/>
    </i>
    <i r="1">
      <x v="3"/>
    </i>
    <i>
      <x v="4"/>
    </i>
    <i r="1">
      <x v="1"/>
    </i>
    <i t="grand">
      <x/>
    </i>
  </rowItems>
  <colFields count="1">
    <field x="-2"/>
  </colFields>
  <colItems count="2">
    <i>
      <x/>
    </i>
    <i i="1">
      <x v="1"/>
    </i>
  </colItems>
  <pageFields count="3">
    <pageField fld="5" hier="-1"/>
    <pageField fld="6" hier="-1"/>
    <pageField fld="4" hier="-1"/>
  </pageFields>
  <dataFields count="2">
    <dataField name="Sum of  Credit_Limit  " fld="2" baseField="0" baseItem="0"/>
    <dataField name="Sum of Payment_Terms " fld="3" baseField="0" baseItem="0"/>
  </dataFields>
  <chartFormats count="2">
    <chartFormat chart="9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Medium5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03106B7-6679-446C-ABFF-3ADE859ACA11}" name="PivotTable3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A6:C17" firstHeaderRow="0" firstDataRow="1" firstDataCol="1" rowPageCount="4" colPageCount="1"/>
  <pivotFields count="8">
    <pivotField axis="axisPage" showAll="0">
      <items count="6">
        <item x="0"/>
        <item x="1"/>
        <item x="2"/>
        <item x="3"/>
        <item x="4"/>
        <item t="default"/>
      </items>
    </pivotField>
    <pivotField axis="axisPage" numFmtId="14" showAll="0">
      <items count="6">
        <item x="0"/>
        <item x="1"/>
        <item x="2"/>
        <item x="3"/>
        <item x="4"/>
        <item t="default"/>
      </items>
    </pivotField>
    <pivotField axis="axisRow" showAll="0">
      <items count="6">
        <item x="0"/>
        <item x="1"/>
        <item x="2"/>
        <item x="3"/>
        <item x="4"/>
        <item t="default"/>
      </items>
    </pivotField>
    <pivotField axis="axisRow" showAll="0">
      <items count="6">
        <item x="2"/>
        <item x="3"/>
        <item x="1"/>
        <item x="0"/>
        <item x="4"/>
        <item t="default"/>
      </items>
    </pivotField>
    <pivotField dataField="1" showAll="0">
      <items count="6">
        <item x="3"/>
        <item x="0"/>
        <item x="1"/>
        <item x="4"/>
        <item x="2"/>
        <item t="default"/>
      </items>
    </pivotField>
    <pivotField dataField="1" showAll="0"/>
    <pivotField axis="axisPage" showAll="0">
      <items count="6">
        <item x="2"/>
        <item x="0"/>
        <item x="4"/>
        <item x="1"/>
        <item x="3"/>
        <item t="default"/>
      </items>
    </pivotField>
    <pivotField axis="axisPage" showAll="0">
      <items count="2">
        <item x="0"/>
        <item t="default"/>
      </items>
    </pivotField>
  </pivotFields>
  <rowFields count="2">
    <field x="2"/>
    <field x="3"/>
  </rowFields>
  <rowItems count="11">
    <i>
      <x/>
    </i>
    <i r="1">
      <x v="3"/>
    </i>
    <i>
      <x v="1"/>
    </i>
    <i r="1">
      <x v="2"/>
    </i>
    <i>
      <x v="2"/>
    </i>
    <i r="1">
      <x/>
    </i>
    <i>
      <x v="3"/>
    </i>
    <i r="1">
      <x v="1"/>
    </i>
    <i>
      <x v="4"/>
    </i>
    <i r="1">
      <x v="4"/>
    </i>
    <i t="grand">
      <x/>
    </i>
  </rowItems>
  <colFields count="1">
    <field x="-2"/>
  </colFields>
  <colItems count="2">
    <i>
      <x/>
    </i>
    <i i="1">
      <x v="1"/>
    </i>
  </colItems>
  <pageFields count="4">
    <pageField fld="7" item="0" hier="-1"/>
    <pageField fld="6" hier="-1"/>
    <pageField fld="0" hier="-1"/>
    <pageField fld="1" hier="-1"/>
  </pageFields>
  <dataFields count="2">
    <dataField name="Sum of Quantity" fld="4" baseField="0" baseItem="0"/>
    <dataField name="Sum of Rate" fld="5" baseField="0" baseItem="0"/>
  </dataFields>
  <chartFormats count="2">
    <chartFormat chart="6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E543740-E651-482F-AB34-AC4F7841D90B}" name="Table1" displayName="Table1" ref="A1:H6" totalsRowShown="0">
  <autoFilter ref="A1:H6" xr:uid="{9E543740-E651-482F-AB34-AC4F7841D90B}"/>
  <tableColumns count="8">
    <tableColumn id="1" xr3:uid="{638DC1B7-0887-4BA2-B6D0-50C2183DCC98}" name="Order_ID"/>
    <tableColumn id="2" xr3:uid="{7026B9C7-3B3B-4139-9E67-6F17A773EFC9}" name="Order_Date" dataDxfId="5"/>
    <tableColumn id="3" xr3:uid="{19D9B9B6-813C-4FEB-A988-8329FA5C27C4}" name="Customer_ID"/>
    <tableColumn id="4" xr3:uid="{EE1C2A27-CEA6-4457-A8E1-4A27E0F76569}" name="Product"/>
    <tableColumn id="5" xr3:uid="{7841A9A6-1600-40AA-821D-B33DD4F743A9}" name="Quantity"/>
    <tableColumn id="6" xr3:uid="{D93023D2-B1B8-4982-9C27-1135C0C7A568}" name="Rate"/>
    <tableColumn id="7" xr3:uid="{0900320E-DEC5-43D5-BDDA-644B0188C28B}" name="Order_Value">
      <calculatedColumnFormula>E2*F2</calculatedColumnFormula>
    </tableColumn>
    <tableColumn id="8" xr3:uid="{D3973456-B67A-434B-9B57-515249242421}" name="Credit_Status" dataDxfId="4">
      <calculatedColumnFormula>IF(E2&gt;D2,"Error",
IF(E2=0,"On Hold",
IF(E2&lt;D2,"Partial","Completed")))</calculatedColumnFormula>
    </tableColumn>
  </tableColumns>
  <tableStyleInfo name="TableStyleMedium1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BDC7DC9-2307-40C3-877F-B8C913110CD2}" name="Table2" displayName="Table2" ref="A1:G7" totalsRowShown="0">
  <autoFilter ref="A1:G7" xr:uid="{7BDC7DC9-2307-40C3-877F-B8C913110CD2}"/>
  <tableColumns count="7">
    <tableColumn id="1" xr3:uid="{B8C99DA3-479D-45CA-981C-B01984B8C8F5}" name="Customer_ID"/>
    <tableColumn id="2" xr3:uid="{9ACD2573-EC72-477F-9233-D7E5E28D96E1}" name=" Customer_Name     "/>
    <tableColumn id="3" xr3:uid="{CA3C2328-FCD1-43F5-8835-ED8AA0D726D9}" name=" Credit_Limit  "/>
    <tableColumn id="4" xr3:uid="{6A070585-925F-4896-9B97-0FCA832CA6C2}" name="Payment_Terms "/>
    <tableColumn id="5" xr3:uid="{DE4288C6-94BA-4FBD-BAC8-DBD6C3A403AC}" name=" GSTIN           "/>
    <tableColumn id="6" xr3:uid="{C23C9340-B564-4121-8464-D3E81B6C2D89}" name="State       "/>
    <tableColumn id="7" xr3:uid="{A2C629A7-3572-4003-8135-041E7B018D62}" name="Status"/>
  </tableColumns>
  <tableStyleInfo name="TableStyleMedium14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6DB9661-F10A-41D3-B9B4-6E8B5C52C0F8}" name="Table3" displayName="Table3" ref="A1:F6" totalsRowShown="0">
  <autoFilter ref="A1:F6" xr:uid="{B6DB9661-F10A-41D3-B9B4-6E8B5C52C0F8}"/>
  <tableColumns count="6">
    <tableColumn id="1" xr3:uid="{14DED4AC-CB08-420A-B75A-E43724F45327}" name="Delivery_ID"/>
    <tableColumn id="2" xr3:uid="{82F29EAA-AD17-46CF-B1E4-7E7DBA8E62B4}" name="Order_ID"/>
    <tableColumn id="3" xr3:uid="{59AD0EB1-60B5-4BDA-BE15-3D36F81ED4A6}" name="Delivery_Date" dataDxfId="3"/>
    <tableColumn id="4" xr3:uid="{916FE8FA-EB80-4919-974C-7BBCB6307DB5}" name="Ordered_Qty"/>
    <tableColumn id="5" xr3:uid="{E5FDF6FC-34EA-433E-B0DE-88B415E6A5CA}" name="Delivered_Qty"/>
    <tableColumn id="6" xr3:uid="{570E6004-CC64-4A70-89C6-74D3B0AE02F7}" name="Delivery_Status">
      <calculatedColumnFormula>IF(E2=0,"On Hold",IF(E2&lt;D2,"Partial","Completed"))</calculatedColumnFormula>
    </tableColumn>
  </tableColumns>
  <tableStyleInfo name="TableStyleMedium18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EC6D8CF-326A-4675-BD45-346A105B857A}" name="Table4" displayName="Table4" ref="A1:G5" totalsRowShown="0">
  <autoFilter ref="A1:G5" xr:uid="{1EC6D8CF-326A-4675-BD45-346A105B857A}"/>
  <tableColumns count="7">
    <tableColumn id="1" xr3:uid="{DEC33575-181D-488F-B3BE-E182A9A6105D}" name="Invoice_No"/>
    <tableColumn id="2" xr3:uid="{402A8283-5FB8-4539-AA6E-EF4E32D9DED5}" name="Invoice_Date" dataDxfId="2"/>
    <tableColumn id="3" xr3:uid="{DA18DBEC-4428-4778-BC2F-879AF826E11F}" name="Customer_ID"/>
    <tableColumn id="4" xr3:uid="{F7497472-2064-4955-9BE0-76A569B4ACBD}" name="Order_ID"/>
    <tableColumn id="5" xr3:uid="{2766858F-EC41-4E2B-ACC9-48E37DD351BE}" name="Invoice_Amount"/>
    <tableColumn id="6" xr3:uid="{5CBB9FFB-C6E6-4D0A-B82B-39961F5C3C18}" name="Due_Date" dataDxfId="1">
      <calculatedColumnFormula>B2 + 30</calculatedColumnFormula>
    </tableColumn>
    <tableColumn id="7" xr3:uid="{2A056CDB-9F95-4E45-BB8A-BAF04873183F}" name="Payment_Status"/>
  </tableColumns>
  <tableStyleInfo name="TableStyleLight1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B100398-7CE1-4CBB-82F1-F5EAFFCE14BF}" name="Table5" displayName="Table5" ref="A8:F11" totalsRowShown="0">
  <autoFilter ref="A8:F11" xr:uid="{0B100398-7CE1-4CBB-82F1-F5EAFFCE14BF}"/>
  <tableColumns count="6">
    <tableColumn id="1" xr3:uid="{B772FB34-073E-49B2-9258-87D221F3C273}" name="Receipt_ID"/>
    <tableColumn id="2" xr3:uid="{FBA3EB4C-5FC9-411B-B1F8-E1EA219F0C10}" name="Invoice_No"/>
    <tableColumn id="3" xr3:uid="{2A9A0605-91DE-46A0-89B6-09B3C4D0AC2E}" name="Receipt_Date" dataDxfId="0"/>
    <tableColumn id="4" xr3:uid="{7F97F094-FFE3-4FA3-A2D4-D38A2C175EC3}" name="Amount_Received"/>
    <tableColumn id="5" xr3:uid="{13DFC34E-B570-411D-8EFB-15D0BAD14769}" name="Mode"/>
    <tableColumn id="6" xr3:uid="{6558FF91-D2A4-4A8E-8E88-0649F3EB61D8}" name="Outstanding Amount">
      <calculatedColumnFormula>D9-SUMIF(D9,B9,C9)</calculatedColumnFormula>
    </tableColumn>
  </tableColumns>
  <tableStyleInfo name="TableStyleDark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table" Target="../tables/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379685-61BD-45E6-90B8-6E20E8118B90}">
  <dimension ref="A2:C17"/>
  <sheetViews>
    <sheetView workbookViewId="0">
      <selection activeCell="A2" sqref="A2:B4"/>
    </sheetView>
  </sheetViews>
  <sheetFormatPr defaultRowHeight="14.4" x14ac:dyDescent="0.3"/>
  <cols>
    <col min="1" max="1" width="22.109375" bestFit="1" customWidth="1"/>
    <col min="2" max="2" width="19.109375" bestFit="1" customWidth="1"/>
    <col min="3" max="3" width="21.88671875" bestFit="1" customWidth="1"/>
    <col min="4" max="4" width="17.6640625" bestFit="1" customWidth="1"/>
    <col min="5" max="5" width="16.6640625" bestFit="1" customWidth="1"/>
    <col min="6" max="6" width="18" bestFit="1" customWidth="1"/>
    <col min="7" max="7" width="10.77734375" bestFit="1" customWidth="1"/>
    <col min="8" max="8" width="18" bestFit="1" customWidth="1"/>
    <col min="9" max="9" width="7.6640625" bestFit="1" customWidth="1"/>
    <col min="10" max="10" width="10.77734375" bestFit="1" customWidth="1"/>
  </cols>
  <sheetData>
    <row r="2" spans="1:3" x14ac:dyDescent="0.3">
      <c r="A2" s="3" t="s">
        <v>5</v>
      </c>
      <c r="B2" t="s">
        <v>82</v>
      </c>
    </row>
    <row r="3" spans="1:3" x14ac:dyDescent="0.3">
      <c r="A3" s="3" t="s">
        <v>4</v>
      </c>
      <c r="B3" t="s">
        <v>82</v>
      </c>
    </row>
    <row r="4" spans="1:3" x14ac:dyDescent="0.3">
      <c r="A4" s="3" t="s">
        <v>3</v>
      </c>
      <c r="B4" t="s">
        <v>82</v>
      </c>
    </row>
    <row r="6" spans="1:3" x14ac:dyDescent="0.3">
      <c r="A6" s="3" t="s">
        <v>78</v>
      </c>
      <c r="B6" t="s">
        <v>80</v>
      </c>
      <c r="C6" t="s">
        <v>81</v>
      </c>
    </row>
    <row r="7" spans="1:3" x14ac:dyDescent="0.3">
      <c r="A7" s="4" t="s">
        <v>26</v>
      </c>
      <c r="B7">
        <v>500000</v>
      </c>
      <c r="C7">
        <v>30</v>
      </c>
    </row>
    <row r="8" spans="1:3" x14ac:dyDescent="0.3">
      <c r="A8" s="5" t="s">
        <v>6</v>
      </c>
      <c r="B8">
        <v>500000</v>
      </c>
      <c r="C8">
        <v>30</v>
      </c>
    </row>
    <row r="9" spans="1:3" x14ac:dyDescent="0.3">
      <c r="A9" s="4" t="s">
        <v>14</v>
      </c>
      <c r="B9">
        <v>200000</v>
      </c>
      <c r="C9">
        <v>60</v>
      </c>
    </row>
    <row r="10" spans="1:3" x14ac:dyDescent="0.3">
      <c r="A10" s="5" t="s">
        <v>13</v>
      </c>
      <c r="B10">
        <v>200000</v>
      </c>
      <c r="C10">
        <v>60</v>
      </c>
    </row>
    <row r="11" spans="1:3" x14ac:dyDescent="0.3">
      <c r="A11" s="4" t="s">
        <v>23</v>
      </c>
      <c r="B11">
        <v>600000</v>
      </c>
      <c r="C11">
        <v>45</v>
      </c>
    </row>
    <row r="12" spans="1:3" x14ac:dyDescent="0.3">
      <c r="A12" s="5" t="s">
        <v>22</v>
      </c>
      <c r="B12">
        <v>600000</v>
      </c>
      <c r="C12">
        <v>45</v>
      </c>
    </row>
    <row r="13" spans="1:3" x14ac:dyDescent="0.3">
      <c r="A13" s="4" t="s">
        <v>18</v>
      </c>
      <c r="B13">
        <v>150000</v>
      </c>
      <c r="C13">
        <v>30</v>
      </c>
    </row>
    <row r="14" spans="1:3" x14ac:dyDescent="0.3">
      <c r="A14" s="5" t="s">
        <v>17</v>
      </c>
      <c r="B14">
        <v>150000</v>
      </c>
      <c r="C14">
        <v>30</v>
      </c>
    </row>
    <row r="15" spans="1:3" x14ac:dyDescent="0.3">
      <c r="A15" s="4" t="s">
        <v>27</v>
      </c>
      <c r="B15">
        <v>300000</v>
      </c>
      <c r="C15">
        <v>45</v>
      </c>
    </row>
    <row r="16" spans="1:3" x14ac:dyDescent="0.3">
      <c r="A16" s="5" t="s">
        <v>10</v>
      </c>
      <c r="B16">
        <v>300000</v>
      </c>
      <c r="C16">
        <v>45</v>
      </c>
    </row>
    <row r="17" spans="1:3" x14ac:dyDescent="0.3">
      <c r="A17" s="4" t="s">
        <v>79</v>
      </c>
      <c r="B17">
        <v>1750000</v>
      </c>
      <c r="C17">
        <v>210</v>
      </c>
    </row>
  </sheetData>
  <conditionalFormatting sqref="A7:C17">
    <cfRule type="dataBar" priority="1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{7BFC109E-E34C-4128-B08D-4F60647237EE}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BFC109E-E34C-4128-B08D-4F60647237E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A7:C17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480A91-F6E0-40E5-8B0F-6F97E033C21E}">
  <dimension ref="A1:C17"/>
  <sheetViews>
    <sheetView workbookViewId="0">
      <selection activeCell="E11" sqref="E11"/>
    </sheetView>
  </sheetViews>
  <sheetFormatPr defaultRowHeight="14.4" x14ac:dyDescent="0.3"/>
  <cols>
    <col min="1" max="1" width="12.6640625" bestFit="1" customWidth="1"/>
    <col min="2" max="2" width="14.88671875" bestFit="1" customWidth="1"/>
    <col min="3" max="3" width="11.21875" bestFit="1" customWidth="1"/>
    <col min="4" max="4" width="18.21875" bestFit="1" customWidth="1"/>
    <col min="5" max="6" width="7" bestFit="1" customWidth="1"/>
    <col min="7" max="7" width="11.21875" bestFit="1" customWidth="1"/>
    <col min="8" max="11" width="7" bestFit="1" customWidth="1"/>
    <col min="12" max="12" width="18.21875" bestFit="1" customWidth="1"/>
    <col min="13" max="16" width="7" bestFit="1" customWidth="1"/>
    <col min="17" max="17" width="19.6640625" bestFit="1" customWidth="1"/>
    <col min="18" max="18" width="16" bestFit="1" customWidth="1"/>
    <col min="19" max="19" width="23" bestFit="1" customWidth="1"/>
  </cols>
  <sheetData>
    <row r="1" spans="1:3" x14ac:dyDescent="0.3">
      <c r="A1" s="3" t="s">
        <v>34</v>
      </c>
      <c r="B1" t="s">
        <v>85</v>
      </c>
    </row>
    <row r="2" spans="1:3" x14ac:dyDescent="0.3">
      <c r="A2" s="3" t="s">
        <v>33</v>
      </c>
      <c r="B2" t="s">
        <v>82</v>
      </c>
    </row>
    <row r="3" spans="1:3" x14ac:dyDescent="0.3">
      <c r="A3" s="3" t="s">
        <v>28</v>
      </c>
      <c r="B3" t="s">
        <v>82</v>
      </c>
    </row>
    <row r="4" spans="1:3" x14ac:dyDescent="0.3">
      <c r="A4" s="3" t="s">
        <v>29</v>
      </c>
      <c r="B4" t="s">
        <v>82</v>
      </c>
    </row>
    <row r="6" spans="1:3" x14ac:dyDescent="0.3">
      <c r="A6" s="3" t="s">
        <v>78</v>
      </c>
      <c r="B6" t="s">
        <v>83</v>
      </c>
      <c r="C6" t="s">
        <v>84</v>
      </c>
    </row>
    <row r="7" spans="1:3" x14ac:dyDescent="0.3">
      <c r="A7" s="4" t="s">
        <v>6</v>
      </c>
      <c r="B7">
        <v>10</v>
      </c>
      <c r="C7">
        <v>12000</v>
      </c>
    </row>
    <row r="8" spans="1:3" x14ac:dyDescent="0.3">
      <c r="A8" s="5" t="s">
        <v>36</v>
      </c>
      <c r="B8">
        <v>10</v>
      </c>
      <c r="C8">
        <v>12000</v>
      </c>
    </row>
    <row r="9" spans="1:3" x14ac:dyDescent="0.3">
      <c r="A9" s="4" t="s">
        <v>10</v>
      </c>
      <c r="B9">
        <v>15</v>
      </c>
      <c r="C9">
        <v>9000</v>
      </c>
    </row>
    <row r="10" spans="1:3" x14ac:dyDescent="0.3">
      <c r="A10" s="5" t="s">
        <v>38</v>
      </c>
      <c r="B10">
        <v>15</v>
      </c>
      <c r="C10">
        <v>9000</v>
      </c>
    </row>
    <row r="11" spans="1:3" x14ac:dyDescent="0.3">
      <c r="A11" s="4" t="s">
        <v>13</v>
      </c>
      <c r="B11">
        <v>50</v>
      </c>
      <c r="C11">
        <v>800</v>
      </c>
    </row>
    <row r="12" spans="1:3" x14ac:dyDescent="0.3">
      <c r="A12" s="5" t="s">
        <v>40</v>
      </c>
      <c r="B12">
        <v>50</v>
      </c>
      <c r="C12">
        <v>800</v>
      </c>
    </row>
    <row r="13" spans="1:3" x14ac:dyDescent="0.3">
      <c r="A13" s="4" t="s">
        <v>17</v>
      </c>
      <c r="B13">
        <v>5</v>
      </c>
      <c r="C13">
        <v>55000</v>
      </c>
    </row>
    <row r="14" spans="1:3" x14ac:dyDescent="0.3">
      <c r="A14" s="5" t="s">
        <v>42</v>
      </c>
      <c r="B14">
        <v>5</v>
      </c>
      <c r="C14">
        <v>55000</v>
      </c>
    </row>
    <row r="15" spans="1:3" x14ac:dyDescent="0.3">
      <c r="A15" s="4" t="s">
        <v>22</v>
      </c>
      <c r="B15">
        <v>20</v>
      </c>
      <c r="C15">
        <v>6500</v>
      </c>
    </row>
    <row r="16" spans="1:3" x14ac:dyDescent="0.3">
      <c r="A16" s="5" t="s">
        <v>44</v>
      </c>
      <c r="B16">
        <v>20</v>
      </c>
      <c r="C16">
        <v>6500</v>
      </c>
    </row>
    <row r="17" spans="1:3" x14ac:dyDescent="0.3">
      <c r="A17" s="4" t="s">
        <v>79</v>
      </c>
      <c r="B17">
        <v>100</v>
      </c>
      <c r="C17">
        <v>83300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6962F1-EB06-47D0-894F-9528378CB1B6}">
  <dimension ref="A1:H6"/>
  <sheetViews>
    <sheetView workbookViewId="0">
      <selection activeCell="C3" sqref="C3"/>
    </sheetView>
  </sheetViews>
  <sheetFormatPr defaultRowHeight="14.4" x14ac:dyDescent="0.3"/>
  <cols>
    <col min="1" max="1" width="10.33203125" customWidth="1"/>
    <col min="2" max="2" width="12.44140625" customWidth="1"/>
    <col min="3" max="3" width="13.5546875" customWidth="1"/>
    <col min="4" max="4" width="9.21875" customWidth="1"/>
    <col min="5" max="5" width="9.88671875" customWidth="1"/>
    <col min="7" max="7" width="13.109375" customWidth="1"/>
    <col min="8" max="8" width="13.77734375" customWidth="1"/>
  </cols>
  <sheetData>
    <row r="1" spans="1:8" x14ac:dyDescent="0.3">
      <c r="A1" t="s">
        <v>28</v>
      </c>
      <c r="B1" t="s">
        <v>29</v>
      </c>
      <c r="C1" t="s">
        <v>1</v>
      </c>
      <c r="D1" t="s">
        <v>30</v>
      </c>
      <c r="E1" t="s">
        <v>31</v>
      </c>
      <c r="F1" t="s">
        <v>32</v>
      </c>
      <c r="G1" t="s">
        <v>33</v>
      </c>
      <c r="H1" t="s">
        <v>34</v>
      </c>
    </row>
    <row r="2" spans="1:8" x14ac:dyDescent="0.3">
      <c r="A2" t="s">
        <v>35</v>
      </c>
      <c r="B2" s="2">
        <v>45809</v>
      </c>
      <c r="C2" t="s">
        <v>6</v>
      </c>
      <c r="D2" t="s">
        <v>36</v>
      </c>
      <c r="E2">
        <v>10</v>
      </c>
      <c r="F2">
        <v>12000</v>
      </c>
      <c r="G2">
        <f>E2*F2</f>
        <v>120000</v>
      </c>
      <c r="H2" s="6" t="str">
        <f>IF(E2&gt;D2,"Error",
IF(E2=0,"On Hold",
IF(E2&lt;D2,"Partial","Completed")))</f>
        <v>Partial</v>
      </c>
    </row>
    <row r="3" spans="1:8" x14ac:dyDescent="0.3">
      <c r="A3" t="s">
        <v>37</v>
      </c>
      <c r="B3" s="2">
        <v>45811</v>
      </c>
      <c r="C3" t="s">
        <v>10</v>
      </c>
      <c r="D3" t="s">
        <v>38</v>
      </c>
      <c r="E3">
        <v>15</v>
      </c>
      <c r="F3">
        <v>9000</v>
      </c>
      <c r="G3">
        <f>E3*F3</f>
        <v>135000</v>
      </c>
      <c r="H3" s="6" t="str">
        <f>IF(E3&gt;D3,"Error",
IF(E3=0,"On Hold",
IF(E3&lt;D3,"Partial","Completed")))</f>
        <v>Partial</v>
      </c>
    </row>
    <row r="4" spans="1:8" x14ac:dyDescent="0.3">
      <c r="A4" t="s">
        <v>39</v>
      </c>
      <c r="B4" s="2">
        <v>45813</v>
      </c>
      <c r="C4" t="s">
        <v>13</v>
      </c>
      <c r="D4" t="s">
        <v>40</v>
      </c>
      <c r="E4">
        <v>50</v>
      </c>
      <c r="F4">
        <v>800</v>
      </c>
      <c r="G4">
        <f>E4*F4</f>
        <v>40000</v>
      </c>
      <c r="H4" s="6" t="str">
        <f t="shared" ref="H4:H6" si="0">IF(E4&gt;D4,"Error",
IF(E4=0,"On Hold",
IF(E4&lt;D4,"Partial","Completed")))</f>
        <v>Partial</v>
      </c>
    </row>
    <row r="5" spans="1:8" x14ac:dyDescent="0.3">
      <c r="A5" t="s">
        <v>41</v>
      </c>
      <c r="B5" s="2">
        <v>45814</v>
      </c>
      <c r="C5" t="s">
        <v>17</v>
      </c>
      <c r="D5" t="s">
        <v>42</v>
      </c>
      <c r="E5">
        <v>5</v>
      </c>
      <c r="F5">
        <v>55000</v>
      </c>
      <c r="G5">
        <f>E5*F5</f>
        <v>275000</v>
      </c>
      <c r="H5" s="6" t="str">
        <f t="shared" si="0"/>
        <v>Partial</v>
      </c>
    </row>
    <row r="6" spans="1:8" x14ac:dyDescent="0.3">
      <c r="A6" t="s">
        <v>43</v>
      </c>
      <c r="B6" s="2">
        <v>45816</v>
      </c>
      <c r="C6" t="s">
        <v>22</v>
      </c>
      <c r="D6" t="s">
        <v>44</v>
      </c>
      <c r="E6">
        <v>20</v>
      </c>
      <c r="F6">
        <v>6500</v>
      </c>
      <c r="G6">
        <f>E6*F6</f>
        <v>130000</v>
      </c>
      <c r="H6" s="6" t="str">
        <f t="shared" si="0"/>
        <v>Partial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9A5AC7-DDBA-4F8C-AF2B-9560A9E32BD3}">
  <dimension ref="A1:G15"/>
  <sheetViews>
    <sheetView workbookViewId="0">
      <selection sqref="A1:G7"/>
    </sheetView>
  </sheetViews>
  <sheetFormatPr defaultRowHeight="14.4" x14ac:dyDescent="0.3"/>
  <cols>
    <col min="1" max="1" width="13.5546875" customWidth="1"/>
    <col min="2" max="2" width="19.33203125" customWidth="1"/>
    <col min="3" max="3" width="14.109375" customWidth="1"/>
    <col min="4" max="4" width="16.44140625" customWidth="1"/>
    <col min="5" max="5" width="13.21875" customWidth="1"/>
    <col min="6" max="6" width="10.21875" customWidth="1"/>
  </cols>
  <sheetData>
    <row r="1" spans="1:7" x14ac:dyDescent="0.3">
      <c r="A1" s="1" t="s">
        <v>1</v>
      </c>
      <c r="B1" t="s">
        <v>0</v>
      </c>
      <c r="C1" t="s">
        <v>9</v>
      </c>
      <c r="D1" t="s">
        <v>2</v>
      </c>
      <c r="E1" t="s">
        <v>3</v>
      </c>
      <c r="F1" t="s">
        <v>5</v>
      </c>
      <c r="G1" t="s">
        <v>4</v>
      </c>
    </row>
    <row r="2" spans="1:7" x14ac:dyDescent="0.3">
      <c r="A2" t="s">
        <v>6</v>
      </c>
      <c r="B2" t="s">
        <v>26</v>
      </c>
      <c r="C2">
        <v>500000</v>
      </c>
      <c r="D2">
        <v>30</v>
      </c>
      <c r="E2" t="s">
        <v>7</v>
      </c>
      <c r="F2" t="s">
        <v>16</v>
      </c>
      <c r="G2" t="s">
        <v>8</v>
      </c>
    </row>
    <row r="3" spans="1:7" x14ac:dyDescent="0.3">
      <c r="A3" t="s">
        <v>10</v>
      </c>
      <c r="B3" t="s">
        <v>27</v>
      </c>
      <c r="C3">
        <v>300000</v>
      </c>
      <c r="D3">
        <v>45</v>
      </c>
      <c r="E3" t="s">
        <v>11</v>
      </c>
      <c r="F3" t="s">
        <v>12</v>
      </c>
      <c r="G3" t="s">
        <v>8</v>
      </c>
    </row>
    <row r="4" spans="1:7" x14ac:dyDescent="0.3">
      <c r="A4" t="s">
        <v>13</v>
      </c>
      <c r="B4" t="s">
        <v>14</v>
      </c>
      <c r="C4">
        <v>200000</v>
      </c>
      <c r="D4">
        <v>60</v>
      </c>
      <c r="E4" t="s">
        <v>15</v>
      </c>
      <c r="F4" t="s">
        <v>16</v>
      </c>
      <c r="G4" t="s">
        <v>8</v>
      </c>
    </row>
    <row r="5" spans="1:7" x14ac:dyDescent="0.3">
      <c r="A5" t="s">
        <v>17</v>
      </c>
      <c r="B5" t="s">
        <v>18</v>
      </c>
      <c r="C5">
        <v>150000</v>
      </c>
      <c r="D5">
        <v>30</v>
      </c>
      <c r="E5" t="s">
        <v>19</v>
      </c>
      <c r="F5" t="s">
        <v>20</v>
      </c>
      <c r="G5" t="s">
        <v>21</v>
      </c>
    </row>
    <row r="6" spans="1:7" x14ac:dyDescent="0.3">
      <c r="A6" t="s">
        <v>22</v>
      </c>
      <c r="B6" t="s">
        <v>23</v>
      </c>
      <c r="C6">
        <v>600000</v>
      </c>
      <c r="D6">
        <v>45</v>
      </c>
      <c r="E6" t="s">
        <v>24</v>
      </c>
      <c r="F6" t="s">
        <v>25</v>
      </c>
      <c r="G6" t="s">
        <v>8</v>
      </c>
    </row>
    <row r="11" spans="1:7" x14ac:dyDescent="0.3">
      <c r="B11" s="2"/>
    </row>
    <row r="12" spans="1:7" x14ac:dyDescent="0.3">
      <c r="B12" s="2"/>
    </row>
    <row r="13" spans="1:7" x14ac:dyDescent="0.3">
      <c r="B13" s="2"/>
    </row>
    <row r="14" spans="1:7" x14ac:dyDescent="0.3">
      <c r="B14" s="2"/>
    </row>
    <row r="15" spans="1:7" x14ac:dyDescent="0.3">
      <c r="B15" s="2"/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F6A6E3-38B9-40F2-A23F-3D800EE547D0}">
  <dimension ref="A1:F6"/>
  <sheetViews>
    <sheetView workbookViewId="0">
      <selection activeCell="J14" sqref="J14"/>
    </sheetView>
  </sheetViews>
  <sheetFormatPr defaultRowHeight="14.4" x14ac:dyDescent="0.3"/>
  <cols>
    <col min="1" max="1" width="12.21875" customWidth="1"/>
    <col min="2" max="2" width="10.33203125" customWidth="1"/>
    <col min="3" max="3" width="14.33203125" customWidth="1"/>
    <col min="4" max="4" width="13.44140625" customWidth="1"/>
    <col min="5" max="5" width="14.44140625" customWidth="1"/>
    <col min="6" max="6" width="15.44140625" customWidth="1"/>
  </cols>
  <sheetData>
    <row r="1" spans="1:6" x14ac:dyDescent="0.3">
      <c r="A1" t="s">
        <v>45</v>
      </c>
      <c r="B1" t="s">
        <v>28</v>
      </c>
      <c r="C1" t="s">
        <v>46</v>
      </c>
      <c r="D1" t="s">
        <v>76</v>
      </c>
      <c r="E1" t="s">
        <v>47</v>
      </c>
      <c r="F1" t="s">
        <v>48</v>
      </c>
    </row>
    <row r="2" spans="1:6" x14ac:dyDescent="0.3">
      <c r="A2" t="s">
        <v>49</v>
      </c>
      <c r="B2" t="s">
        <v>35</v>
      </c>
      <c r="C2" s="2">
        <v>45810</v>
      </c>
      <c r="D2">
        <v>10</v>
      </c>
      <c r="E2">
        <v>10</v>
      </c>
      <c r="F2" t="str">
        <f>IF(E2=0,"On Hold",IF(E2&lt;D2,"Partial","Completed"))</f>
        <v>Completed</v>
      </c>
    </row>
    <row r="3" spans="1:6" x14ac:dyDescent="0.3">
      <c r="A3" t="s">
        <v>50</v>
      </c>
      <c r="B3" t="s">
        <v>37</v>
      </c>
      <c r="C3" s="2">
        <v>45813</v>
      </c>
      <c r="D3">
        <v>15</v>
      </c>
      <c r="E3">
        <v>15</v>
      </c>
      <c r="F3" t="str">
        <f>IF(E3=0,"On Hold",IF(E3&lt;D3,"Partial","Completed"))</f>
        <v>Completed</v>
      </c>
    </row>
    <row r="4" spans="1:6" x14ac:dyDescent="0.3">
      <c r="A4" t="s">
        <v>51</v>
      </c>
      <c r="B4" t="s">
        <v>39</v>
      </c>
      <c r="C4" s="2">
        <v>45815</v>
      </c>
      <c r="D4">
        <v>50</v>
      </c>
      <c r="E4">
        <v>40</v>
      </c>
      <c r="F4" t="str">
        <f>IF(E4=0,"On Hold",IF(E4&lt;D4,"Partial","Completed"))</f>
        <v>Partial</v>
      </c>
    </row>
    <row r="5" spans="1:6" x14ac:dyDescent="0.3">
      <c r="A5" t="s">
        <v>52</v>
      </c>
      <c r="B5" t="s">
        <v>41</v>
      </c>
      <c r="C5" s="2">
        <v>45816</v>
      </c>
      <c r="D5">
        <v>5</v>
      </c>
      <c r="E5">
        <v>0</v>
      </c>
      <c r="F5" t="str">
        <f>IF(E5=0,"On Hold",IF(E5&lt;D5,"Partial","Completed"))</f>
        <v>On Hold</v>
      </c>
    </row>
    <row r="6" spans="1:6" x14ac:dyDescent="0.3">
      <c r="A6" t="s">
        <v>53</v>
      </c>
      <c r="B6" t="s">
        <v>43</v>
      </c>
      <c r="C6" s="2">
        <v>45818</v>
      </c>
      <c r="D6">
        <v>20</v>
      </c>
      <c r="E6">
        <v>20</v>
      </c>
      <c r="F6" t="str">
        <f>IF(E6=0,"On Hold",IF(E6&lt;D6,"Partial","Completed"))</f>
        <v>Completed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A143DC-1425-4386-82A4-F2AAC59FA4AC}">
  <dimension ref="A1:G11"/>
  <sheetViews>
    <sheetView workbookViewId="0">
      <selection activeCell="A8" sqref="A8:F11"/>
    </sheetView>
  </sheetViews>
  <sheetFormatPr defaultRowHeight="14.4" x14ac:dyDescent="0.3"/>
  <cols>
    <col min="1" max="1" width="12.21875" customWidth="1"/>
    <col min="2" max="2" width="13.6640625" customWidth="1"/>
    <col min="3" max="3" width="13.88671875" customWidth="1"/>
    <col min="4" max="4" width="17.6640625" customWidth="1"/>
    <col min="5" max="5" width="16.21875" customWidth="1"/>
    <col min="6" max="6" width="19.5546875" customWidth="1"/>
    <col min="7" max="7" width="16" customWidth="1"/>
  </cols>
  <sheetData>
    <row r="1" spans="1:7" x14ac:dyDescent="0.3">
      <c r="A1" t="s">
        <v>54</v>
      </c>
      <c r="B1" t="s">
        <v>55</v>
      </c>
      <c r="C1" t="s">
        <v>1</v>
      </c>
      <c r="D1" t="s">
        <v>28</v>
      </c>
      <c r="E1" t="s">
        <v>56</v>
      </c>
      <c r="F1" t="s">
        <v>57</v>
      </c>
      <c r="G1" t="s">
        <v>58</v>
      </c>
    </row>
    <row r="2" spans="1:7" x14ac:dyDescent="0.3">
      <c r="A2" t="s">
        <v>59</v>
      </c>
      <c r="B2" s="2">
        <v>45811</v>
      </c>
      <c r="C2" t="s">
        <v>6</v>
      </c>
      <c r="D2" t="s">
        <v>35</v>
      </c>
      <c r="E2">
        <v>120000</v>
      </c>
      <c r="F2" s="2">
        <f>B2 + 30</f>
        <v>45841</v>
      </c>
      <c r="G2" t="s">
        <v>60</v>
      </c>
    </row>
    <row r="3" spans="1:7" x14ac:dyDescent="0.3">
      <c r="A3" t="s">
        <v>61</v>
      </c>
      <c r="B3" s="2">
        <v>45814</v>
      </c>
      <c r="C3" t="s">
        <v>10</v>
      </c>
      <c r="D3" t="s">
        <v>37</v>
      </c>
      <c r="E3">
        <v>135000</v>
      </c>
      <c r="F3" s="2">
        <f>B3 + 30</f>
        <v>45844</v>
      </c>
      <c r="G3" t="s">
        <v>62</v>
      </c>
    </row>
    <row r="4" spans="1:7" x14ac:dyDescent="0.3">
      <c r="A4" t="s">
        <v>63</v>
      </c>
      <c r="B4" s="2">
        <v>45817</v>
      </c>
      <c r="C4" t="s">
        <v>13</v>
      </c>
      <c r="D4" t="s">
        <v>39</v>
      </c>
      <c r="E4">
        <v>32000</v>
      </c>
      <c r="F4" s="2">
        <f>B4 + 30</f>
        <v>45847</v>
      </c>
      <c r="G4" t="s">
        <v>60</v>
      </c>
    </row>
    <row r="5" spans="1:7" x14ac:dyDescent="0.3">
      <c r="A5" t="s">
        <v>64</v>
      </c>
      <c r="B5" s="2">
        <v>45819</v>
      </c>
      <c r="C5" t="s">
        <v>22</v>
      </c>
      <c r="D5" t="s">
        <v>43</v>
      </c>
      <c r="E5">
        <v>130000</v>
      </c>
      <c r="F5" s="2">
        <f>B5 + 30</f>
        <v>45849</v>
      </c>
      <c r="G5" t="s">
        <v>65</v>
      </c>
    </row>
    <row r="8" spans="1:7" x14ac:dyDescent="0.3">
      <c r="A8" t="s">
        <v>66</v>
      </c>
      <c r="B8" t="s">
        <v>54</v>
      </c>
      <c r="C8" t="s">
        <v>67</v>
      </c>
      <c r="D8" t="s">
        <v>68</v>
      </c>
      <c r="E8" t="s">
        <v>69</v>
      </c>
      <c r="F8" t="s">
        <v>77</v>
      </c>
    </row>
    <row r="9" spans="1:7" x14ac:dyDescent="0.3">
      <c r="A9" t="s">
        <v>70</v>
      </c>
      <c r="B9" t="s">
        <v>59</v>
      </c>
      <c r="C9" s="2">
        <v>45823</v>
      </c>
      <c r="D9">
        <v>50000</v>
      </c>
      <c r="E9" t="s">
        <v>71</v>
      </c>
      <c r="F9">
        <f>D9-SUMIF(D9,B9,C9)</f>
        <v>50000</v>
      </c>
    </row>
    <row r="10" spans="1:7" x14ac:dyDescent="0.3">
      <c r="A10" t="s">
        <v>72</v>
      </c>
      <c r="B10" t="s">
        <v>61</v>
      </c>
      <c r="C10" s="2">
        <v>45826</v>
      </c>
      <c r="D10">
        <v>75000</v>
      </c>
      <c r="E10" t="s">
        <v>73</v>
      </c>
      <c r="F10">
        <f t="shared" ref="F10:F11" si="0">D10-SUMIF(D10,B10,C10)</f>
        <v>75000</v>
      </c>
    </row>
    <row r="11" spans="1:7" x14ac:dyDescent="0.3">
      <c r="A11" t="s">
        <v>74</v>
      </c>
      <c r="B11" t="s">
        <v>64</v>
      </c>
      <c r="C11" s="2">
        <v>45820</v>
      </c>
      <c r="D11">
        <v>130000</v>
      </c>
      <c r="E11" t="s">
        <v>75</v>
      </c>
      <c r="F11">
        <f t="shared" si="0"/>
        <v>130000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ADD142-5FD4-4AB8-81B6-41586F9BCAB4}">
  <dimension ref="A1"/>
  <sheetViews>
    <sheetView tabSelected="1" workbookViewId="0">
      <selection activeCell="O34" sqref="O34:P34"/>
    </sheetView>
  </sheetViews>
  <sheetFormatPr defaultRowHeight="14.4" x14ac:dyDescent="0.3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CUSTOMER PIVOT TABLE </vt:lpstr>
      <vt:lpstr>SALES ORDER  PIVOT TABLE</vt:lpstr>
      <vt:lpstr>SALES ORDER DATA</vt:lpstr>
      <vt:lpstr>Customer_Master</vt:lpstr>
      <vt:lpstr>DELIVERY DATA</vt:lpstr>
      <vt:lpstr>INVOICE &amp; RECEIPT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 gokul</dc:creator>
  <cp:lastModifiedBy>raj gokul</cp:lastModifiedBy>
  <dcterms:created xsi:type="dcterms:W3CDTF">2025-12-15T07:04:03Z</dcterms:created>
  <dcterms:modified xsi:type="dcterms:W3CDTF">2026-01-27T06:04:45Z</dcterms:modified>
</cp:coreProperties>
</file>