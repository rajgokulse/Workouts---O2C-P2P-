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ang\Downloads\"/>
    </mc:Choice>
  </mc:AlternateContent>
  <xr:revisionPtr revIDLastSave="0" documentId="13_ncr:1_{3ACEBADB-12D0-4661-A823-840D168F9C19}" xr6:coauthVersionLast="47" xr6:coauthVersionMax="47" xr10:uidLastSave="{00000000-0000-0000-0000-000000000000}"/>
  <bookViews>
    <workbookView xWindow="-108" yWindow="-108" windowWidth="23256" windowHeight="12456" firstSheet="3" activeTab="6" xr2:uid="{0494F93D-9C28-4BA3-B86C-B4BCBC2D86C4}"/>
  </bookViews>
  <sheets>
    <sheet name="VENDOR MASTER" sheetId="1" r:id="rId1"/>
    <sheet name="PURCHASE REQUISITION" sheetId="2" r:id="rId2"/>
    <sheet name="PURCHASE ORDER " sheetId="3" r:id="rId3"/>
    <sheet name="GOODS RECEIPT NOTE(GRN)" sheetId="4" r:id="rId4"/>
    <sheet name="PAYMENT TRACKER" sheetId="6" r:id="rId5"/>
    <sheet name="INVOICE REGISTER" sheetId="5" r:id="rId6"/>
    <sheet name="DASHBOARDS" sheetId="7" r:id="rId7"/>
  </sheet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2" i="3"/>
  <c r="H3" i="2"/>
  <c r="H4" i="2"/>
  <c r="H5" i="2"/>
  <c r="H6" i="2"/>
  <c r="H2" i="2"/>
  <c r="F3" i="4"/>
  <c r="F4" i="4"/>
  <c r="F5" i="4"/>
  <c r="F2" i="4"/>
  <c r="F3" i="6"/>
  <c r="F4" i="6"/>
  <c r="F5" i="6"/>
  <c r="F6" i="6"/>
  <c r="F2" i="6"/>
  <c r="F2" i="5"/>
  <c r="F3" i="5"/>
  <c r="F4" i="5"/>
  <c r="F5" i="5"/>
  <c r="F6" i="5"/>
  <c r="H3" i="3"/>
  <c r="H4" i="3"/>
  <c r="H5" i="3"/>
  <c r="H6" i="3"/>
  <c r="H2" i="3"/>
  <c r="G3" i="2"/>
  <c r="G4" i="2"/>
  <c r="G5" i="2"/>
  <c r="G6" i="2"/>
  <c r="G2" i="2"/>
</calcChain>
</file>

<file path=xl/sharedStrings.xml><?xml version="1.0" encoding="utf-8"?>
<sst xmlns="http://schemas.openxmlformats.org/spreadsheetml/2006/main" count="186" uniqueCount="102">
  <si>
    <t>Vendor_ID</t>
  </si>
  <si>
    <t>Vendor_Name</t>
  </si>
  <si>
    <t>GST_Number</t>
  </si>
  <si>
    <t>Payment_Terms</t>
  </si>
  <si>
    <t>Bank_Name</t>
  </si>
  <si>
    <t>Account_Number</t>
  </si>
  <si>
    <t>Status</t>
  </si>
  <si>
    <t>V001</t>
  </si>
  <si>
    <t>Sri Lakshmi Metals</t>
  </si>
  <si>
    <t>33ABCDE1234F1Z5</t>
  </si>
  <si>
    <t>30 Days</t>
  </si>
  <si>
    <t>SBI</t>
  </si>
  <si>
    <t>Active</t>
  </si>
  <si>
    <t>V002</t>
  </si>
  <si>
    <t>Kaveri Traders</t>
  </si>
  <si>
    <t>33PQRS5678L1Z2</t>
  </si>
  <si>
    <t>45 Days</t>
  </si>
  <si>
    <t>HDFC</t>
  </si>
  <si>
    <t>V003</t>
  </si>
  <si>
    <t>Vinayaga Services</t>
  </si>
  <si>
    <t>33LMNOP4321Q1Z9</t>
  </si>
  <si>
    <t>15 Days</t>
  </si>
  <si>
    <t>ICICI</t>
  </si>
  <si>
    <t>PR_No</t>
  </si>
  <si>
    <t>Date</t>
  </si>
  <si>
    <t>Dept</t>
  </si>
  <si>
    <t>Item</t>
  </si>
  <si>
    <t>Qty</t>
  </si>
  <si>
    <t>Est_Price</t>
  </si>
  <si>
    <t>Total</t>
  </si>
  <si>
    <t>PR001</t>
  </si>
  <si>
    <t>Stores</t>
  </si>
  <si>
    <t>Printer</t>
  </si>
  <si>
    <t>PR002</t>
  </si>
  <si>
    <t>PR003</t>
  </si>
  <si>
    <t>PR004</t>
  </si>
  <si>
    <t>PR005</t>
  </si>
  <si>
    <t>Mouse</t>
  </si>
  <si>
    <t>Keyboard</t>
  </si>
  <si>
    <t>Moniter</t>
  </si>
  <si>
    <t>CPU</t>
  </si>
  <si>
    <t>PO_No</t>
  </si>
  <si>
    <t>PO_Date</t>
  </si>
  <si>
    <t>Rate</t>
  </si>
  <si>
    <t>PO_Value</t>
  </si>
  <si>
    <t>PO101</t>
  </si>
  <si>
    <t>PO102</t>
  </si>
  <si>
    <t>PO103</t>
  </si>
  <si>
    <t>PO104</t>
  </si>
  <si>
    <t>PO105</t>
  </si>
  <si>
    <t>V004</t>
  </si>
  <si>
    <t>V005</t>
  </si>
  <si>
    <t>Scanner</t>
  </si>
  <si>
    <t>Gaming Laptop</t>
  </si>
  <si>
    <t>GRN_No</t>
  </si>
  <si>
    <t>Received_Qty</t>
  </si>
  <si>
    <t>Received_Date</t>
  </si>
  <si>
    <t>Quality_Status</t>
  </si>
  <si>
    <t>GRN501</t>
  </si>
  <si>
    <t>GRN502</t>
  </si>
  <si>
    <t>GRN503</t>
  </si>
  <si>
    <t>GRN504</t>
  </si>
  <si>
    <t>Invoice_No</t>
  </si>
  <si>
    <t>Invoice_Amount</t>
  </si>
  <si>
    <t>Match_Status</t>
  </si>
  <si>
    <t>INV9001</t>
  </si>
  <si>
    <t>INV9002</t>
  </si>
  <si>
    <t>INV9003</t>
  </si>
  <si>
    <t>INV9004</t>
  </si>
  <si>
    <t>INV9005</t>
  </si>
  <si>
    <t>GRN505</t>
  </si>
  <si>
    <t>PAY3001</t>
  </si>
  <si>
    <t>PAY3002</t>
  </si>
  <si>
    <t>PAY3003</t>
  </si>
  <si>
    <t>PAY3004</t>
  </si>
  <si>
    <t>PAY3005</t>
  </si>
  <si>
    <t>Payment_ID</t>
  </si>
  <si>
    <t>Due_Date</t>
  </si>
  <si>
    <t>Amount</t>
  </si>
  <si>
    <t>Payment_Status</t>
  </si>
  <si>
    <t>Accepted Qty</t>
  </si>
  <si>
    <t>TMT Rod</t>
  </si>
  <si>
    <t>Hyder Sweets</t>
  </si>
  <si>
    <t>33LMNOP4556Q1Z0</t>
  </si>
  <si>
    <t>33LMNOP12341Q1Z8</t>
  </si>
  <si>
    <t>25 Days</t>
  </si>
  <si>
    <t>60 Days</t>
  </si>
  <si>
    <t>CUB</t>
  </si>
  <si>
    <t>IB</t>
  </si>
  <si>
    <t>Vendor Name</t>
  </si>
  <si>
    <t>Sum of Spend Amount</t>
  </si>
  <si>
    <t>Vendor A</t>
  </si>
  <si>
    <t>Vendor B</t>
  </si>
  <si>
    <t>Vendor C</t>
  </si>
  <si>
    <t>Grand Total</t>
  </si>
  <si>
    <t>Vendor D</t>
  </si>
  <si>
    <t>Vendor E</t>
  </si>
  <si>
    <t>Row Labels</t>
  </si>
  <si>
    <t>Column Labels</t>
  </si>
  <si>
    <t>Sum of Sum of Spend Amount</t>
  </si>
  <si>
    <t>(All)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</si>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</sst>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3" fontId="5" fillId="0" borderId="0" xfId="0" applyNumberFormat="1" applyFont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1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numFmt numFmtId="3" formatCode="#,##0"/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 to Pay workout.xlsx]VENDOR MASTER!PivotTable1</c:name>
    <c:fmtId val="15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'VENDOR MASTER'!$B$9:$B$10</c:f>
              <c:strCache>
                <c:ptCount val="1"/>
                <c:pt idx="0">
                  <c:v>CUB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'VENDOR MASTER'!$A$11:$A$16</c:f>
              <c:strCache>
                <c:ptCount val="5"/>
                <c:pt idx="0">
                  <c:v>Hyder Sweets</c:v>
                </c:pt>
                <c:pt idx="1">
                  <c:v>Kaveri Traders</c:v>
                </c:pt>
                <c:pt idx="2">
                  <c:v>Sri Lakshmi Metals</c:v>
                </c:pt>
                <c:pt idx="3">
                  <c:v>TMT Rod</c:v>
                </c:pt>
                <c:pt idx="4">
                  <c:v>Vinayaga Services</c:v>
                </c:pt>
              </c:strCache>
            </c:strRef>
          </c:cat>
          <c:val>
            <c:numRef>
              <c:f>'VENDOR MASTER'!$B$11:$B$16</c:f>
              <c:numCache>
                <c:formatCode>General</c:formatCode>
                <c:ptCount val="5"/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3-43A0-8862-4E97536D1CF2}"/>
            </c:ext>
          </c:extLst>
        </c:ser>
        <c:ser>
          <c:idx val="1"/>
          <c:order val="1"/>
          <c:tx>
            <c:strRef>
              <c:f>'VENDOR MASTER'!$C$9:$C$10</c:f>
              <c:strCache>
                <c:ptCount val="1"/>
                <c:pt idx="0">
                  <c:v>HDFC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'VENDOR MASTER'!$A$11:$A$16</c:f>
              <c:strCache>
                <c:ptCount val="5"/>
                <c:pt idx="0">
                  <c:v>Hyder Sweets</c:v>
                </c:pt>
                <c:pt idx="1">
                  <c:v>Kaveri Traders</c:v>
                </c:pt>
                <c:pt idx="2">
                  <c:v>Sri Lakshmi Metals</c:v>
                </c:pt>
                <c:pt idx="3">
                  <c:v>TMT Rod</c:v>
                </c:pt>
                <c:pt idx="4">
                  <c:v>Vinayaga Services</c:v>
                </c:pt>
              </c:strCache>
            </c:strRef>
          </c:cat>
          <c:val>
            <c:numRef>
              <c:f>'VENDOR MASTER'!$C$11:$C$16</c:f>
              <c:numCache>
                <c:formatCode>General</c:formatCode>
                <c:ptCount val="5"/>
                <c:pt idx="1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3-43A0-8862-4E97536D1CF2}"/>
            </c:ext>
          </c:extLst>
        </c:ser>
        <c:ser>
          <c:idx val="2"/>
          <c:order val="2"/>
          <c:tx>
            <c:strRef>
              <c:f>'VENDOR MASTER'!$D$9:$D$10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'VENDOR MASTER'!$A$11:$A$16</c:f>
              <c:strCache>
                <c:ptCount val="5"/>
                <c:pt idx="0">
                  <c:v>Hyder Sweets</c:v>
                </c:pt>
                <c:pt idx="1">
                  <c:v>Kaveri Traders</c:v>
                </c:pt>
                <c:pt idx="2">
                  <c:v>Sri Lakshmi Metals</c:v>
                </c:pt>
                <c:pt idx="3">
                  <c:v>TMT Rod</c:v>
                </c:pt>
                <c:pt idx="4">
                  <c:v>Vinayaga Services</c:v>
                </c:pt>
              </c:strCache>
            </c:strRef>
          </c:cat>
          <c:val>
            <c:numRef>
              <c:f>'VENDOR MASTER'!$D$11:$D$16</c:f>
              <c:numCache>
                <c:formatCode>General</c:formatCode>
                <c:ptCount val="5"/>
                <c:pt idx="0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C3-43A0-8862-4E97536D1CF2}"/>
            </c:ext>
          </c:extLst>
        </c:ser>
        <c:ser>
          <c:idx val="3"/>
          <c:order val="3"/>
          <c:tx>
            <c:strRef>
              <c:f>'VENDOR MASTER'!$E$9:$E$10</c:f>
              <c:strCache>
                <c:ptCount val="1"/>
                <c:pt idx="0">
                  <c:v>ICICI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'VENDOR MASTER'!$A$11:$A$16</c:f>
              <c:strCache>
                <c:ptCount val="5"/>
                <c:pt idx="0">
                  <c:v>Hyder Sweets</c:v>
                </c:pt>
                <c:pt idx="1">
                  <c:v>Kaveri Traders</c:v>
                </c:pt>
                <c:pt idx="2">
                  <c:v>Sri Lakshmi Metals</c:v>
                </c:pt>
                <c:pt idx="3">
                  <c:v>TMT Rod</c:v>
                </c:pt>
                <c:pt idx="4">
                  <c:v>Vinayaga Services</c:v>
                </c:pt>
              </c:strCache>
            </c:strRef>
          </c:cat>
          <c:val>
            <c:numRef>
              <c:f>'VENDOR MASTER'!$E$11:$E$16</c:f>
              <c:numCache>
                <c:formatCode>General</c:formatCode>
                <c:ptCount val="5"/>
                <c:pt idx="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C3-43A0-8862-4E97536D1CF2}"/>
            </c:ext>
          </c:extLst>
        </c:ser>
        <c:ser>
          <c:idx val="4"/>
          <c:order val="4"/>
          <c:tx>
            <c:strRef>
              <c:f>'VENDOR MASTER'!$F$9:$F$10</c:f>
              <c:strCache>
                <c:ptCount val="1"/>
                <c:pt idx="0">
                  <c:v>SBI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'VENDOR MASTER'!$A$11:$A$16</c:f>
              <c:strCache>
                <c:ptCount val="5"/>
                <c:pt idx="0">
                  <c:v>Hyder Sweets</c:v>
                </c:pt>
                <c:pt idx="1">
                  <c:v>Kaveri Traders</c:v>
                </c:pt>
                <c:pt idx="2">
                  <c:v>Sri Lakshmi Metals</c:v>
                </c:pt>
                <c:pt idx="3">
                  <c:v>TMT Rod</c:v>
                </c:pt>
                <c:pt idx="4">
                  <c:v>Vinayaga Services</c:v>
                </c:pt>
              </c:strCache>
            </c:strRef>
          </c:cat>
          <c:val>
            <c:numRef>
              <c:f>'VENDOR MASTER'!$F$11:$F$16</c:f>
              <c:numCache>
                <c:formatCode>General</c:formatCode>
                <c:ptCount val="5"/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C3-43A0-8862-4E97536D1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20694512"/>
        <c:axId val="1320695952"/>
        <c:axId val="0"/>
      </c:bar3DChart>
      <c:catAx>
        <c:axId val="132069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695952"/>
        <c:crosses val="autoZero"/>
        <c:auto val="1"/>
        <c:lblAlgn val="ctr"/>
        <c:lblOffset val="100"/>
        <c:noMultiLvlLbl val="0"/>
      </c:catAx>
      <c:valAx>
        <c:axId val="132069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69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 to Pay workout.xlsx]PAYMENT TRACKER!PivotTable2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 Tracker</a:t>
            </a:r>
          </a:p>
        </c:rich>
      </c:tx>
      <c:layout>
        <c:manualLayout>
          <c:xMode val="edge"/>
          <c:yMode val="edge"/>
          <c:x val="0.4563888888888889"/>
          <c:y val="0.11832895888013999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76E-2"/>
              <c:y val="-0.11574074074074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444444444446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445E-2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444444444444445E-2"/>
              <c:y val="-0.1435185185185185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444444444446E-2"/>
              <c:y val="-0.101851851851851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05"/>
              <c:y val="-4.62962962962962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7222222222222276E-2"/>
              <c:y val="-0.115740740740740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5555555555555558E-3"/>
              <c:y val="-0.171296296296296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33333333333334"/>
              <c:y val="-0.15277777777777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33333333333334"/>
              <c:y val="-9.722222222222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7777777777777835E-2"/>
              <c:y val="-7.50694444444444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622222222222222"/>
                  <c:h val="0.1804862933799941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415682414698161"/>
          <c:y val="0.37058326042578005"/>
          <c:w val="0.30432524059492566"/>
          <c:h val="0.50720873432487601"/>
        </c:manualLayout>
      </c:layout>
      <c:doughnutChart>
        <c:varyColors val="1"/>
        <c:ser>
          <c:idx val="0"/>
          <c:order val="0"/>
          <c:tx>
            <c:strRef>
              <c:f>'PAYMENT TRACKER'!$B$16</c:f>
              <c:strCache>
                <c:ptCount val="1"/>
                <c:pt idx="0">
                  <c:v>Total</c:v>
                </c:pt>
              </c:strCache>
            </c:strRef>
          </c:tx>
          <c:explosion val="2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6C-459F-941A-ADACA80733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6C-459F-941A-ADACA80733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6C-459F-941A-ADACA80733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6C-459F-941A-ADACA80733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6C-459F-941A-ADACA8073314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-0.171296296296296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6C-459F-941A-ADACA8073314}"/>
                </c:ext>
              </c:extLst>
            </c:dLbl>
            <c:dLbl>
              <c:idx val="1"/>
              <c:layout>
                <c:manualLayout>
                  <c:x val="0.10833333333333334"/>
                  <c:y val="-0.1527777777777777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0F6C-459F-941A-ADACA8073314}"/>
                </c:ext>
              </c:extLst>
            </c:dLbl>
            <c:dLbl>
              <c:idx val="2"/>
              <c:layout>
                <c:manualLayout>
                  <c:x val="0.10833333333333334"/>
                  <c:y val="-9.722222222222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6C-459F-941A-ADACA8073314}"/>
                </c:ext>
              </c:extLst>
            </c:dLbl>
            <c:dLbl>
              <c:idx val="4"/>
              <c:layout>
                <c:manualLayout>
                  <c:x val="-7.7777777777777835E-2"/>
                  <c:y val="-7.50694444444444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22222222222222"/>
                      <c:h val="0.180486293379994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F6C-459F-941A-ADACA8073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TRACKER'!$A$17:$A$22</c:f>
              <c:strCache>
                <c:ptCount val="5"/>
                <c:pt idx="0">
                  <c:v>V001</c:v>
                </c:pt>
                <c:pt idx="1">
                  <c:v>V002</c:v>
                </c:pt>
                <c:pt idx="2">
                  <c:v>V003</c:v>
                </c:pt>
                <c:pt idx="3">
                  <c:v>V004</c:v>
                </c:pt>
                <c:pt idx="4">
                  <c:v>V005</c:v>
                </c:pt>
              </c:strCache>
            </c:strRef>
          </c:cat>
          <c:val>
            <c:numRef>
              <c:f>'PAYMENT TRACKER'!$B$17:$B$22</c:f>
              <c:numCache>
                <c:formatCode>General</c:formatCode>
                <c:ptCount val="5"/>
                <c:pt idx="0">
                  <c:v>23000</c:v>
                </c:pt>
                <c:pt idx="1">
                  <c:v>25000</c:v>
                </c:pt>
                <c:pt idx="2">
                  <c:v>78000</c:v>
                </c:pt>
                <c:pt idx="3">
                  <c:v>450120</c:v>
                </c:pt>
                <c:pt idx="4">
                  <c:v>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6C-459F-941A-ADACA8073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0</xdr:row>
      <xdr:rowOff>60960</xdr:rowOff>
    </xdr:from>
    <xdr:to>
      <xdr:col>8</xdr:col>
      <xdr:colOff>228600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1107F-5944-4CCD-B0B8-08FF1994A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0</xdr:row>
      <xdr:rowOff>68580</xdr:rowOff>
    </xdr:from>
    <xdr:to>
      <xdr:col>17</xdr:col>
      <xdr:colOff>335280</xdr:colOff>
      <xdr:row>19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06FB11-2537-45D8-97FF-C2B230972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gokul" refreshedDate="46007.574839004628" createdVersion="8" refreshedVersion="8" minRefreshableVersion="3" recordCount="5" xr:uid="{0ED20BC0-AF03-4E9B-A3DE-43C1D77E0D0A}">
  <cacheSource type="worksheet">
    <worksheetSource ref="A1:I6" sheet="VENDOR MASTER"/>
  </cacheSource>
  <cacheFields count="9">
    <cacheField name="Vendor_ID" numFmtId="0">
      <sharedItems count="5">
        <s v="V001"/>
        <s v="V002"/>
        <s v="V003"/>
        <s v="V004"/>
        <s v="V005"/>
      </sharedItems>
    </cacheField>
    <cacheField name="Vendor_Name" numFmtId="0">
      <sharedItems count="5">
        <s v="Sri Lakshmi Metals"/>
        <s v="Kaveri Traders"/>
        <s v="Vinayaga Services"/>
        <s v="TMT Rod"/>
        <s v="Hyder Sweets"/>
      </sharedItems>
    </cacheField>
    <cacheField name="GST_Number" numFmtId="0">
      <sharedItems/>
    </cacheField>
    <cacheField name="Payment_Terms" numFmtId="0">
      <sharedItems count="5">
        <s v="30 Days"/>
        <s v="45 Days"/>
        <s v="15 Days"/>
        <s v="25 Days"/>
        <s v="60 Days"/>
      </sharedItems>
    </cacheField>
    <cacheField name="Bank_Name" numFmtId="0">
      <sharedItems count="5">
        <s v="SBI"/>
        <s v="HDFC"/>
        <s v="ICICI"/>
        <s v="CUB"/>
        <s v="IB"/>
      </sharedItems>
    </cacheField>
    <cacheField name="Account_Number" numFmtId="0">
      <sharedItems containsSemiMixedTypes="0" containsString="0" containsNumber="1" containsInteger="1" minValue="98562314" maxValue="3456789012" count="5">
        <n v="1234567890"/>
        <n v="2345678901"/>
        <n v="3456789012"/>
        <n v="98562314"/>
        <n v="258741369"/>
      </sharedItems>
    </cacheField>
    <cacheField name="Status" numFmtId="0">
      <sharedItems count="1">
        <s v="Active"/>
      </sharedItems>
    </cacheField>
    <cacheField name="Vendor Name" numFmtId="0">
      <sharedItems/>
    </cacheField>
    <cacheField name="Sum of Spend Amount" numFmtId="0">
      <sharedItems containsSemiMixedTypes="0" containsString="0" containsNumber="1" containsInteger="1" minValue="25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gokul" refreshedDate="46007.649545370368" createdVersion="8" refreshedVersion="8" minRefreshableVersion="3" recordCount="5" xr:uid="{E3E9ED5A-69BB-4983-B58F-BDC811C02D7B}">
  <cacheSource type="worksheet">
    <worksheetSource ref="A1:F6" sheet="PAYMENT TRACKER"/>
  </cacheSource>
  <cacheFields count="6">
    <cacheField name="Payment_ID" numFmtId="0">
      <sharedItems count="5">
        <s v="PAY3001"/>
        <s v="PAY3002"/>
        <s v="PAY3003"/>
        <s v="PAY3004"/>
        <s v="PAY3005"/>
      </sharedItems>
    </cacheField>
    <cacheField name="Invoice_No" numFmtId="0">
      <sharedItems count="5">
        <s v="INV9001"/>
        <s v="INV9002"/>
        <s v="INV9003"/>
        <s v="INV9004"/>
        <s v="INV9005"/>
      </sharedItems>
    </cacheField>
    <cacheField name="Vendor_ID" numFmtId="0">
      <sharedItems count="5">
        <s v="V001"/>
        <s v="V002"/>
        <s v="V003"/>
        <s v="V004"/>
        <s v="V005"/>
      </sharedItems>
    </cacheField>
    <cacheField name="Due_Date" numFmtId="14">
      <sharedItems containsSemiMixedTypes="0" containsNonDate="0" containsDate="1" containsString="0" minDate="2026-01-05T00:00:00" maxDate="2026-01-10T00:00:00" count="5">
        <d v="2026-01-05T00:00:00"/>
        <d v="2026-01-06T00:00:00"/>
        <d v="2026-01-07T00:00:00"/>
        <d v="2026-01-08T00:00:00"/>
        <d v="2026-01-09T00:00:00"/>
      </sharedItems>
    </cacheField>
    <cacheField name="Amount" numFmtId="0">
      <sharedItems containsSemiMixedTypes="0" containsString="0" containsNumber="1" containsInteger="1" minValue="5785" maxValue="450120" count="5">
        <n v="23000"/>
        <n v="25000"/>
        <n v="78000"/>
        <n v="450120"/>
        <n v="5785"/>
      </sharedItems>
    </cacheField>
    <cacheField name="Payment_Status" numFmtId="0">
      <sharedItems count="1">
        <s v="pending"/>
      </sharedItems>
    </cacheField>
  </cacheFields>
  <extLst>
    <ext xmlns:x14="http://schemas.microsoft.com/office/spreadsheetml/2009/9/main" uri="{725AE2AE-9491-48be-B2B4-4EB974FC3084}">
      <x14:pivotCacheDefinition pivotCacheId="20144185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s v="33ABCDE1234F1Z5"/>
    <x v="0"/>
    <x v="0"/>
    <x v="0"/>
    <x v="0"/>
    <s v="Vendor A"/>
    <n v="150000"/>
  </r>
  <r>
    <x v="1"/>
    <x v="1"/>
    <s v="33PQRS5678L1Z2"/>
    <x v="1"/>
    <x v="1"/>
    <x v="1"/>
    <x v="0"/>
    <s v="Vendor B"/>
    <n v="75000"/>
  </r>
  <r>
    <x v="2"/>
    <x v="2"/>
    <s v="33LMNOP4321Q1Z9"/>
    <x v="2"/>
    <x v="2"/>
    <x v="2"/>
    <x v="0"/>
    <s v="Vendor C"/>
    <n v="45000"/>
  </r>
  <r>
    <x v="3"/>
    <x v="3"/>
    <s v="33LMNOP4556Q1Z0"/>
    <x v="3"/>
    <x v="3"/>
    <x v="3"/>
    <x v="0"/>
    <s v="Vendor D"/>
    <n v="25000"/>
  </r>
  <r>
    <x v="4"/>
    <x v="4"/>
    <s v="33LMNOP12341Q1Z8"/>
    <x v="4"/>
    <x v="4"/>
    <x v="4"/>
    <x v="0"/>
    <s v="Vendor E"/>
    <n v="3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  <x v="0"/>
    <x v="0"/>
  </r>
  <r>
    <x v="1"/>
    <x v="1"/>
    <x v="1"/>
    <x v="1"/>
    <x v="1"/>
    <x v="0"/>
  </r>
  <r>
    <x v="2"/>
    <x v="2"/>
    <x v="2"/>
    <x v="2"/>
    <x v="2"/>
    <x v="0"/>
  </r>
  <r>
    <x v="3"/>
    <x v="3"/>
    <x v="3"/>
    <x v="3"/>
    <x v="3"/>
    <x v="0"/>
  </r>
  <r>
    <x v="4"/>
    <x v="4"/>
    <x v="4"/>
    <x v="4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425D4-0F79-45A8-8036-C416335AFD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9:G16" firstHeaderRow="1" firstDataRow="2" firstDataCol="1" rowPageCount="1" colPageCount="1"/>
  <pivotFields count="9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axis="axisPage" showAll="0">
      <items count="6">
        <item x="2"/>
        <item x="3"/>
        <item x="0"/>
        <item x="1"/>
        <item x="4"/>
        <item t="default"/>
      </items>
    </pivotField>
    <pivotField axis="axisCol" showAll="0">
      <items count="6">
        <item x="3"/>
        <item x="1"/>
        <item x="4"/>
        <item x="2"/>
        <item x="0"/>
        <item t="default"/>
      </items>
    </pivotField>
    <pivotField showAll="0">
      <items count="6">
        <item x="3"/>
        <item x="4"/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Sum of Sum of Spend Amount" fld="8" baseField="0" baseItem="0"/>
  </dataFields>
  <formats count="2">
    <format dxfId="16">
      <pivotArea collapsedLevelsAreSubtotals="1" fieldPosition="0">
        <references count="1">
          <reference field="1" count="0"/>
        </references>
      </pivotArea>
    </format>
    <format dxfId="15">
      <pivotArea dataOnly="0" labelOnly="1" fieldPosition="0">
        <references count="1">
          <reference field="1" count="0"/>
        </references>
      </pivotArea>
    </format>
  </formats>
  <chartFormats count="10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043BE-14F2-48D7-9336-FC3AEE95A0B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6:B22" firstHeaderRow="1" firstDataRow="1" firstDataCol="1" rowPageCount="2" colPageCount="1"/>
  <pivotFields count="6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Page" numFmtId="14" showAll="0">
      <items count="6">
        <item x="0"/>
        <item x="1"/>
        <item x="2"/>
        <item x="3"/>
        <item x="4"/>
        <item t="default"/>
      </items>
    </pivotField>
    <pivotField dataField="1" showAll="0">
      <items count="6">
        <item x="4"/>
        <item x="0"/>
        <item x="1"/>
        <item x="2"/>
        <item x="3"/>
        <item t="default"/>
      </items>
    </pivotField>
    <pivotField axis="axisPage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3" hier="-1"/>
    <pageField fld="5" hier="-1"/>
  </pageFields>
  <dataFields count="1">
    <dataField name="Sum of Amount" fld="4" baseField="0" baseItem="0"/>
  </dataField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A96AA7-3792-46EA-8392-ED4B86E99B0F}" name="Table1" displayName="Table1" ref="A1:I6" totalsRowShown="0" headerRowDxfId="14" dataDxfId="13">
  <autoFilter ref="A1:I6" xr:uid="{A9A96AA7-3792-46EA-8392-ED4B86E99B0F}"/>
  <tableColumns count="9">
    <tableColumn id="1" xr3:uid="{E139B153-B1A0-4495-A3CE-319D7EA18E48}" name="Vendor_ID" dataDxfId="12"/>
    <tableColumn id="2" xr3:uid="{512C2148-A332-4BCE-AE53-24F00EB39BEB}" name="Vendor_Name" dataDxfId="11"/>
    <tableColumn id="3" xr3:uid="{B09B4F54-A0A2-4550-8596-6C3F6C2D8E91}" name="GST_Number" dataDxfId="10"/>
    <tableColumn id="4" xr3:uid="{A419E90A-268E-41D7-9DCF-4B1103661ACE}" name="Payment_Terms" dataDxfId="9"/>
    <tableColumn id="5" xr3:uid="{B613649B-9873-44E8-8E08-1379FBDCB3EA}" name="Bank_Name" dataDxfId="8"/>
    <tableColumn id="6" xr3:uid="{D08D1DC7-BBDA-44E4-9A05-8F7EBD6427F8}" name="Account_Number" dataDxfId="7"/>
    <tableColumn id="7" xr3:uid="{5AF36002-9B84-4603-A41C-681CBCCB3F58}" name="Status" dataDxfId="6"/>
    <tableColumn id="8" xr3:uid="{70E817E5-D647-4F3D-A2ED-C886B7834490}" name="Vendor Name" dataDxfId="5"/>
    <tableColumn id="9" xr3:uid="{417E1C48-03F0-439E-B420-FADCF5ED32BF}" name="Sum of Spend Amount" dataDxfId="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FA27F9-6E44-4061-9EEA-F3EF99A840F8}" name="Table2" displayName="Table2" ref="A1:H7" totalsRowShown="0">
  <autoFilter ref="A1:H7" xr:uid="{25FA27F9-6E44-4061-9EEA-F3EF99A840F8}"/>
  <tableColumns count="8">
    <tableColumn id="1" xr3:uid="{4FE4F01F-27E2-416F-9B7B-F859D0A138E4}" name="PR_No"/>
    <tableColumn id="2" xr3:uid="{163E9633-EDDA-4190-9427-821BBA537A85}" name="Date" dataDxfId="3"/>
    <tableColumn id="3" xr3:uid="{D8B9ED04-1983-4121-86EB-633FCE12CE6C}" name="Dept"/>
    <tableColumn id="4" xr3:uid="{A89FFEB8-2D13-4B53-9322-EA8C401ECEB6}" name="Item"/>
    <tableColumn id="5" xr3:uid="{3C550E6B-2946-4053-A67A-0F73BF90A939}" name="Qty"/>
    <tableColumn id="6" xr3:uid="{A10EEDDD-E8A9-4D67-8C32-9D6C86C25617}" name="Est_Price"/>
    <tableColumn id="7" xr3:uid="{B54C22C4-0850-4898-B034-AC9F6B652DF0}" name="Total"/>
    <tableColumn id="8" xr3:uid="{3878530D-D875-4476-830E-0715A7692433}" name="Status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EA45E-D15E-4983-B7D9-65F472B29008}" name="Table3" displayName="Table3" ref="A1:I6" totalsRowShown="0">
  <autoFilter ref="A1:I6" xr:uid="{3AAEA45E-D15E-4983-B7D9-65F472B29008}"/>
  <tableColumns count="9">
    <tableColumn id="1" xr3:uid="{AA6EE324-4A9B-432E-B3AB-AE250D0E1D6E}" name="PO_No"/>
    <tableColumn id="2" xr3:uid="{6E62768A-F86C-42F3-AEEE-7C9F1F16EE80}" name="PR_No"/>
    <tableColumn id="3" xr3:uid="{FF805E19-ACDC-4D77-910B-9E60D925BAEA}" name="Vendor_ID"/>
    <tableColumn id="4" xr3:uid="{23D42753-5C07-41F8-8EBE-6DD64B6F49DB}" name="PO_Date" dataDxfId="2"/>
    <tableColumn id="5" xr3:uid="{E22898B1-6AE1-4B15-8A40-4F7998CB9668}" name="Item"/>
    <tableColumn id="6" xr3:uid="{AB799B9B-E018-4FC5-B174-6BA9A2EF6188}" name="Qty"/>
    <tableColumn id="7" xr3:uid="{65F79586-EDB5-4ADE-8263-558BCFE25DC3}" name="Rate"/>
    <tableColumn id="8" xr3:uid="{5FF4E315-5213-433E-81BB-8C41847F5C00}" name="PO_Value">
      <calculatedColumnFormula>G2*F2</calculatedColumnFormula>
    </tableColumn>
    <tableColumn id="9" xr3:uid="{0F28083A-41A6-4827-BA2F-30E939DD2649}" name="Status">
      <calculatedColumnFormula>IF(H2&gt;0,"Open","Close")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703547-0897-4EC7-BCA0-86F58454A433}" name="Table4" displayName="Table4" ref="A1:F5" totalsRowShown="0">
  <autoFilter ref="A1:F5" xr:uid="{C1703547-0897-4EC7-BCA0-86F58454A433}"/>
  <tableColumns count="6">
    <tableColumn id="1" xr3:uid="{FA06EDDF-CC12-4A93-B8B2-63EA57957283}" name="GRN_No"/>
    <tableColumn id="2" xr3:uid="{AE10E454-4ED2-4F97-9B42-8A3D2F988ECA}" name="PO_No"/>
    <tableColumn id="3" xr3:uid="{107F155A-A5D0-4317-AF0F-60EECDD034E6}" name="Accepted Qty"/>
    <tableColumn id="4" xr3:uid="{FB02F802-DF30-4599-B627-47F01A55E9C0}" name="Received_Qty"/>
    <tableColumn id="5" xr3:uid="{9FE7C5E3-545C-4C32-9BA7-C7D2D303BAB0}" name="Received_Date" dataDxfId="1"/>
    <tableColumn id="6" xr3:uid="{8216C530-3C7F-43A5-A7F4-690E5147AFCF}" name="Quality_Status">
      <calculatedColumnFormula>IF(C2=D2,"Accepted",IF(C2&gt;0,"Partial Accepted","Rejected"))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2DFCE5-0C51-4ABF-A02A-410E5B75164E}" name="Table6" displayName="Table6" ref="A1:F6" totalsRowShown="0">
  <autoFilter ref="A1:F6" xr:uid="{452DFCE5-0C51-4ABF-A02A-410E5B75164E}"/>
  <tableColumns count="6">
    <tableColumn id="1" xr3:uid="{598E109E-A178-47DA-A92D-85CD144ED507}" name="Payment_ID"/>
    <tableColumn id="2" xr3:uid="{50F4754C-B0C9-4041-B4AC-223DCDDD32EF}" name="Invoice_No"/>
    <tableColumn id="3" xr3:uid="{547BDA95-9B48-409D-AF0A-582CDE4D0D07}" name="Vendor_ID"/>
    <tableColumn id="4" xr3:uid="{4766FFB6-C6FF-40C3-89F1-4999F55BBEF3}" name="Due_Date" dataDxfId="0"/>
    <tableColumn id="5" xr3:uid="{AD4E1C7A-2BA6-4EA9-BD9B-6B418E90943F}" name="Amount"/>
    <tableColumn id="6" xr3:uid="{349B9FA8-D20B-470E-92D3-AA2220E0E948}" name="Payment_Status">
      <calculatedColumnFormula>IF(E2&gt;0,"pending","paid")</calculatedColumnFormula>
    </tableColumn>
  </tableColumns>
  <tableStyleInfo name="TableStyleMedium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0E61DC-5496-47C9-B06E-CD873FC9CEE1}" name="Table5" displayName="Table5" ref="A1:F7" totalsRowShown="0">
  <autoFilter ref="A1:F7" xr:uid="{A30E61DC-5496-47C9-B06E-CD873FC9CEE1}"/>
  <tableColumns count="6">
    <tableColumn id="1" xr3:uid="{36A5D4D4-451D-4060-A0B5-659ADC0E13C6}" name="Invoice_No"/>
    <tableColumn id="2" xr3:uid="{90AF8D10-CD95-4F0C-9067-BC1A75F10C31}" name="Vendor_ID"/>
    <tableColumn id="3" xr3:uid="{9657A7AA-3470-42FA-AA9C-FBB8D4770F45}" name="PO_No"/>
    <tableColumn id="4" xr3:uid="{6E811D17-07CB-48BF-8763-E1B0FAED1873}" name="GRN_No"/>
    <tableColumn id="5" xr3:uid="{CC3347FF-2AC9-4FA9-949F-7B03A772BA73}" name="Invoice_Amount"/>
    <tableColumn id="6" xr3:uid="{EF090764-4A4C-40CA-9F23-27072A367CBC}" name="Match_Statu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ED78-62F3-4F75-A4B0-FB5989195BFB}">
  <dimension ref="A1:I16"/>
  <sheetViews>
    <sheetView topLeftCell="A4" workbookViewId="0">
      <selection activeCell="B13" sqref="A9:G16"/>
    </sheetView>
  </sheetViews>
  <sheetFormatPr defaultRowHeight="14.4" x14ac:dyDescent="0.3"/>
  <cols>
    <col min="1" max="1" width="15.77734375" customWidth="1"/>
    <col min="2" max="2" width="15.5546875" bestFit="1" customWidth="1"/>
    <col min="3" max="3" width="14" customWidth="1"/>
    <col min="4" max="4" width="16.5546875" customWidth="1"/>
    <col min="5" max="5" width="13.109375" customWidth="1"/>
    <col min="6" max="6" width="17.77734375" customWidth="1"/>
    <col min="7" max="7" width="16.21875" customWidth="1"/>
    <col min="8" max="8" width="17.5546875" customWidth="1"/>
    <col min="9" max="9" width="25.33203125" customWidth="1"/>
    <col min="10" max="10" width="7" bestFit="1" customWidth="1"/>
    <col min="11" max="11" width="8.33203125" bestFit="1" customWidth="1"/>
    <col min="12" max="12" width="10.77734375" bestFit="1" customWidth="1"/>
  </cols>
  <sheetData>
    <row r="1" spans="1:9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89</v>
      </c>
      <c r="I1" s="7" t="s">
        <v>90</v>
      </c>
    </row>
    <row r="2" spans="1:9" ht="43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1234567890</v>
      </c>
      <c r="G2" s="3" t="s">
        <v>12</v>
      </c>
      <c r="H2" s="5" t="s">
        <v>91</v>
      </c>
      <c r="I2" s="6">
        <v>150000</v>
      </c>
    </row>
    <row r="3" spans="1:9" ht="28.8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2345678901</v>
      </c>
      <c r="G3" s="3" t="s">
        <v>12</v>
      </c>
      <c r="H3" s="5" t="s">
        <v>92</v>
      </c>
      <c r="I3" s="6">
        <v>75000</v>
      </c>
    </row>
    <row r="4" spans="1:9" ht="43.2" x14ac:dyDescent="0.3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>
        <v>3456789012</v>
      </c>
      <c r="G4" s="3" t="s">
        <v>12</v>
      </c>
      <c r="H4" s="5" t="s">
        <v>93</v>
      </c>
      <c r="I4" s="6">
        <v>45000</v>
      </c>
    </row>
    <row r="5" spans="1:9" ht="28.8" x14ac:dyDescent="0.3">
      <c r="A5" t="s">
        <v>50</v>
      </c>
      <c r="B5" s="3" t="s">
        <v>81</v>
      </c>
      <c r="C5" t="s">
        <v>83</v>
      </c>
      <c r="D5" s="3" t="s">
        <v>85</v>
      </c>
      <c r="E5" s="3" t="s">
        <v>87</v>
      </c>
      <c r="F5" s="3">
        <v>98562314</v>
      </c>
      <c r="G5" s="3" t="s">
        <v>12</v>
      </c>
      <c r="H5" s="5" t="s">
        <v>95</v>
      </c>
      <c r="I5" s="5">
        <v>25000</v>
      </c>
    </row>
    <row r="6" spans="1:9" ht="28.8" x14ac:dyDescent="0.3">
      <c r="A6" t="s">
        <v>51</v>
      </c>
      <c r="B6" s="3" t="s">
        <v>82</v>
      </c>
      <c r="C6" t="s">
        <v>84</v>
      </c>
      <c r="D6" s="3" t="s">
        <v>86</v>
      </c>
      <c r="E6" s="3" t="s">
        <v>88</v>
      </c>
      <c r="F6" s="3">
        <v>258741369</v>
      </c>
      <c r="G6" s="3" t="s">
        <v>12</v>
      </c>
      <c r="H6" s="5" t="s">
        <v>96</v>
      </c>
      <c r="I6" s="6">
        <v>35000</v>
      </c>
    </row>
    <row r="7" spans="1:9" x14ac:dyDescent="0.3">
      <c r="A7" s="8" t="s">
        <v>3</v>
      </c>
      <c r="B7" t="s">
        <v>100</v>
      </c>
    </row>
    <row r="9" spans="1:9" x14ac:dyDescent="0.3">
      <c r="A9" s="8" t="s">
        <v>99</v>
      </c>
      <c r="B9" s="8" t="s">
        <v>98</v>
      </c>
    </row>
    <row r="10" spans="1:9" x14ac:dyDescent="0.3">
      <c r="A10" s="8" t="s">
        <v>97</v>
      </c>
      <c r="B10" t="s">
        <v>87</v>
      </c>
      <c r="C10" t="s">
        <v>17</v>
      </c>
      <c r="D10" t="s">
        <v>88</v>
      </c>
      <c r="E10" t="s">
        <v>22</v>
      </c>
      <c r="F10" t="s">
        <v>11</v>
      </c>
      <c r="G10" t="s">
        <v>94</v>
      </c>
    </row>
    <row r="11" spans="1:9" x14ac:dyDescent="0.3">
      <c r="A11" s="10" t="s">
        <v>82</v>
      </c>
      <c r="B11" s="11"/>
      <c r="C11" s="11"/>
      <c r="D11" s="11">
        <v>35000</v>
      </c>
      <c r="E11" s="11"/>
      <c r="F11" s="11"/>
      <c r="G11" s="11">
        <v>35000</v>
      </c>
    </row>
    <row r="12" spans="1:9" x14ac:dyDescent="0.3">
      <c r="A12" s="10" t="s">
        <v>14</v>
      </c>
      <c r="B12" s="11"/>
      <c r="C12" s="11">
        <v>75000</v>
      </c>
      <c r="D12" s="11"/>
      <c r="E12" s="11"/>
      <c r="F12" s="11"/>
      <c r="G12" s="11">
        <v>75000</v>
      </c>
    </row>
    <row r="13" spans="1:9" x14ac:dyDescent="0.3">
      <c r="A13" s="10" t="s">
        <v>8</v>
      </c>
      <c r="B13" s="11"/>
      <c r="C13" s="11"/>
      <c r="D13" s="11"/>
      <c r="E13" s="11"/>
      <c r="F13" s="11">
        <v>150000</v>
      </c>
      <c r="G13" s="11">
        <v>150000</v>
      </c>
    </row>
    <row r="14" spans="1:9" x14ac:dyDescent="0.3">
      <c r="A14" s="10" t="s">
        <v>81</v>
      </c>
      <c r="B14" s="11">
        <v>25000</v>
      </c>
      <c r="C14" s="11"/>
      <c r="D14" s="11"/>
      <c r="E14" s="11"/>
      <c r="F14" s="11"/>
      <c r="G14" s="11">
        <v>25000</v>
      </c>
    </row>
    <row r="15" spans="1:9" x14ac:dyDescent="0.3">
      <c r="A15" s="10" t="s">
        <v>19</v>
      </c>
      <c r="B15" s="11"/>
      <c r="C15" s="11"/>
      <c r="D15" s="11"/>
      <c r="E15" s="11">
        <v>45000</v>
      </c>
      <c r="F15" s="11"/>
      <c r="G15" s="11">
        <v>45000</v>
      </c>
    </row>
    <row r="16" spans="1:9" x14ac:dyDescent="0.3">
      <c r="A16" s="9" t="s">
        <v>94</v>
      </c>
      <c r="B16">
        <v>25000</v>
      </c>
      <c r="C16">
        <v>75000</v>
      </c>
      <c r="D16">
        <v>35000</v>
      </c>
      <c r="E16">
        <v>45000</v>
      </c>
      <c r="F16">
        <v>150000</v>
      </c>
      <c r="G16">
        <v>330000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0022-946C-4741-ADFF-384905738971}">
  <dimension ref="A1:H6"/>
  <sheetViews>
    <sheetView workbookViewId="0">
      <selection activeCell="F18" sqref="F18"/>
    </sheetView>
  </sheetViews>
  <sheetFormatPr defaultRowHeight="14.4" x14ac:dyDescent="0.3"/>
  <cols>
    <col min="2" max="2" width="10.33203125" bestFit="1" customWidth="1"/>
    <col min="6" max="6" width="10.33203125" customWidth="1"/>
  </cols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6</v>
      </c>
    </row>
    <row r="2" spans="1:8" x14ac:dyDescent="0.3">
      <c r="A2" t="s">
        <v>30</v>
      </c>
      <c r="B2" s="2">
        <v>45992</v>
      </c>
      <c r="C2" t="s">
        <v>31</v>
      </c>
      <c r="D2" t="s">
        <v>32</v>
      </c>
      <c r="E2">
        <v>2</v>
      </c>
      <c r="F2">
        <v>12000</v>
      </c>
      <c r="G2">
        <f>F2*E2</f>
        <v>24000</v>
      </c>
      <c r="H2" t="str">
        <f>IF(G2&gt;F2,"Approved","Rejected")</f>
        <v>Approved</v>
      </c>
    </row>
    <row r="3" spans="1:8" x14ac:dyDescent="0.3">
      <c r="A3" t="s">
        <v>33</v>
      </c>
      <c r="B3" s="2">
        <v>45993</v>
      </c>
      <c r="C3" t="s">
        <v>31</v>
      </c>
      <c r="D3" t="s">
        <v>39</v>
      </c>
      <c r="E3">
        <v>2</v>
      </c>
      <c r="F3">
        <v>15000</v>
      </c>
      <c r="G3">
        <f t="shared" ref="G3:G6" si="0">F3*E3</f>
        <v>30000</v>
      </c>
      <c r="H3" t="str">
        <f t="shared" ref="H3:H6" si="1">IF(G3&gt;F3,"Approved","Rejected")</f>
        <v>Approved</v>
      </c>
    </row>
    <row r="4" spans="1:8" x14ac:dyDescent="0.3">
      <c r="A4" t="s">
        <v>34</v>
      </c>
      <c r="B4" s="2">
        <v>45994</v>
      </c>
      <c r="C4" t="s">
        <v>31</v>
      </c>
      <c r="D4" t="s">
        <v>37</v>
      </c>
      <c r="E4">
        <v>2</v>
      </c>
      <c r="F4">
        <v>700</v>
      </c>
      <c r="G4">
        <f t="shared" si="0"/>
        <v>1400</v>
      </c>
      <c r="H4" t="str">
        <f t="shared" si="1"/>
        <v>Approved</v>
      </c>
    </row>
    <row r="5" spans="1:8" x14ac:dyDescent="0.3">
      <c r="A5" t="s">
        <v>35</v>
      </c>
      <c r="B5" s="2">
        <v>45995</v>
      </c>
      <c r="C5" t="s">
        <v>31</v>
      </c>
      <c r="D5" t="s">
        <v>40</v>
      </c>
      <c r="E5">
        <v>2</v>
      </c>
      <c r="F5">
        <v>8000</v>
      </c>
      <c r="G5">
        <f t="shared" si="0"/>
        <v>16000</v>
      </c>
      <c r="H5" t="str">
        <f t="shared" si="1"/>
        <v>Approved</v>
      </c>
    </row>
    <row r="6" spans="1:8" x14ac:dyDescent="0.3">
      <c r="A6" t="s">
        <v>36</v>
      </c>
      <c r="B6" s="2">
        <v>45996</v>
      </c>
      <c r="C6" t="s">
        <v>31</v>
      </c>
      <c r="D6" t="s">
        <v>38</v>
      </c>
      <c r="E6">
        <v>2</v>
      </c>
      <c r="F6">
        <v>800</v>
      </c>
      <c r="G6">
        <f t="shared" si="0"/>
        <v>1600</v>
      </c>
      <c r="H6" t="str">
        <f t="shared" si="1"/>
        <v>Approved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136BC-34FD-4799-90C5-DD69740EA385}">
  <dimension ref="A1:K6"/>
  <sheetViews>
    <sheetView workbookViewId="0">
      <selection activeCell="G6" sqref="A2:I6"/>
    </sheetView>
  </sheetViews>
  <sheetFormatPr defaultRowHeight="14.4" x14ac:dyDescent="0.3"/>
  <cols>
    <col min="3" max="3" width="11.5546875" customWidth="1"/>
    <col min="4" max="4" width="10.33203125" bestFit="1" customWidth="1"/>
    <col min="8" max="8" width="10.77734375" customWidth="1"/>
  </cols>
  <sheetData>
    <row r="1" spans="1:11" x14ac:dyDescent="0.3">
      <c r="A1" t="s">
        <v>41</v>
      </c>
      <c r="B1" t="s">
        <v>23</v>
      </c>
      <c r="C1" t="s">
        <v>0</v>
      </c>
      <c r="D1" t="s">
        <v>42</v>
      </c>
      <c r="E1" t="s">
        <v>26</v>
      </c>
      <c r="F1" t="s">
        <v>27</v>
      </c>
      <c r="G1" t="s">
        <v>43</v>
      </c>
      <c r="H1" t="s">
        <v>44</v>
      </c>
      <c r="I1" t="s">
        <v>6</v>
      </c>
      <c r="J1" s="7"/>
      <c r="K1" s="7"/>
    </row>
    <row r="2" spans="1:11" x14ac:dyDescent="0.3">
      <c r="A2" t="s">
        <v>45</v>
      </c>
      <c r="B2" t="s">
        <v>30</v>
      </c>
      <c r="C2" t="s">
        <v>7</v>
      </c>
      <c r="D2" s="2">
        <v>45994</v>
      </c>
      <c r="E2" t="s">
        <v>32</v>
      </c>
      <c r="F2">
        <v>2</v>
      </c>
      <c r="G2">
        <v>11500</v>
      </c>
      <c r="H2">
        <f>G2*F2</f>
        <v>23000</v>
      </c>
      <c r="I2" t="str">
        <f>IF(H2&gt;0,"Open","Close")</f>
        <v>Open</v>
      </c>
      <c r="J2" s="7"/>
      <c r="K2" s="4"/>
    </row>
    <row r="3" spans="1:11" x14ac:dyDescent="0.3">
      <c r="A3" t="s">
        <v>46</v>
      </c>
      <c r="B3" t="s">
        <v>33</v>
      </c>
      <c r="C3" t="s">
        <v>13</v>
      </c>
      <c r="D3" s="2">
        <v>45995</v>
      </c>
      <c r="E3" t="s">
        <v>40</v>
      </c>
      <c r="F3">
        <v>5</v>
      </c>
      <c r="G3">
        <v>8000</v>
      </c>
      <c r="H3">
        <f t="shared" ref="H3:H6" si="0">G3*F3</f>
        <v>40000</v>
      </c>
      <c r="I3" t="str">
        <f t="shared" ref="I3:I6" si="1">IF(H3&gt;0,"Open","Close")</f>
        <v>Open</v>
      </c>
      <c r="J3" s="7"/>
      <c r="K3" s="4"/>
    </row>
    <row r="4" spans="1:11" x14ac:dyDescent="0.3">
      <c r="A4" t="s">
        <v>47</v>
      </c>
      <c r="B4" t="s">
        <v>34</v>
      </c>
      <c r="C4" t="s">
        <v>18</v>
      </c>
      <c r="D4" s="2">
        <v>45996</v>
      </c>
      <c r="E4" t="s">
        <v>38</v>
      </c>
      <c r="F4">
        <v>3</v>
      </c>
      <c r="G4">
        <v>600</v>
      </c>
      <c r="H4">
        <f t="shared" si="0"/>
        <v>1800</v>
      </c>
      <c r="I4" t="str">
        <f t="shared" si="1"/>
        <v>Open</v>
      </c>
      <c r="J4" s="7"/>
      <c r="K4" s="4"/>
    </row>
    <row r="5" spans="1:11" x14ac:dyDescent="0.3">
      <c r="A5" t="s">
        <v>48</v>
      </c>
      <c r="B5" t="s">
        <v>35</v>
      </c>
      <c r="C5" t="s">
        <v>50</v>
      </c>
      <c r="D5" s="2">
        <v>45997</v>
      </c>
      <c r="E5" t="s">
        <v>52</v>
      </c>
      <c r="F5">
        <v>2</v>
      </c>
      <c r="G5">
        <v>7800</v>
      </c>
      <c r="H5">
        <f t="shared" si="0"/>
        <v>15600</v>
      </c>
      <c r="I5" t="str">
        <f t="shared" si="1"/>
        <v>Open</v>
      </c>
      <c r="J5" s="7"/>
      <c r="K5" s="7"/>
    </row>
    <row r="6" spans="1:11" x14ac:dyDescent="0.3">
      <c r="A6" t="s">
        <v>49</v>
      </c>
      <c r="B6" t="s">
        <v>36</v>
      </c>
      <c r="C6" t="s">
        <v>51</v>
      </c>
      <c r="D6" s="2">
        <v>45998</v>
      </c>
      <c r="E6" t="s">
        <v>53</v>
      </c>
      <c r="F6">
        <v>3</v>
      </c>
      <c r="G6">
        <v>67000</v>
      </c>
      <c r="H6">
        <f t="shared" si="0"/>
        <v>201000</v>
      </c>
      <c r="I6" t="str">
        <f t="shared" si="1"/>
        <v>Open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FD4D-68CB-4981-88CC-94905FBC4F45}">
  <dimension ref="A1:F5"/>
  <sheetViews>
    <sheetView workbookViewId="0">
      <selection activeCell="C3" sqref="A2:F5"/>
    </sheetView>
  </sheetViews>
  <sheetFormatPr defaultRowHeight="14.4" x14ac:dyDescent="0.3"/>
  <cols>
    <col min="1" max="1" width="10" customWidth="1"/>
    <col min="3" max="3" width="13.77734375" customWidth="1"/>
    <col min="4" max="4" width="14.109375" customWidth="1"/>
    <col min="5" max="5" width="15.109375" customWidth="1"/>
    <col min="6" max="6" width="14.6640625" customWidth="1"/>
  </cols>
  <sheetData>
    <row r="1" spans="1:6" x14ac:dyDescent="0.3">
      <c r="A1" t="s">
        <v>54</v>
      </c>
      <c r="B1" t="s">
        <v>41</v>
      </c>
      <c r="C1" t="s">
        <v>80</v>
      </c>
      <c r="D1" t="s">
        <v>55</v>
      </c>
      <c r="E1" t="s">
        <v>56</v>
      </c>
      <c r="F1" t="s">
        <v>57</v>
      </c>
    </row>
    <row r="2" spans="1:6" x14ac:dyDescent="0.3">
      <c r="A2" t="s">
        <v>58</v>
      </c>
      <c r="B2" t="s">
        <v>45</v>
      </c>
      <c r="C2">
        <v>5</v>
      </c>
      <c r="D2">
        <v>2</v>
      </c>
      <c r="E2" s="2">
        <v>45997</v>
      </c>
      <c r="F2" t="str">
        <f>IF(C2=D2,"Accepted",IF(C2&gt;0,"Partial Accepted","Rejected"))</f>
        <v>Partial Accepted</v>
      </c>
    </row>
    <row r="3" spans="1:6" x14ac:dyDescent="0.3">
      <c r="A3" t="s">
        <v>59</v>
      </c>
      <c r="B3" t="s">
        <v>46</v>
      </c>
      <c r="C3">
        <v>1</v>
      </c>
      <c r="D3">
        <v>1</v>
      </c>
      <c r="E3" s="2">
        <v>45998</v>
      </c>
      <c r="F3" t="str">
        <f t="shared" ref="F3:F5" si="0">IF(C3=D3,"Accepted",IF(C3&gt;0,"Partial Accepted","Rejected"))</f>
        <v>Accepted</v>
      </c>
    </row>
    <row r="4" spans="1:6" x14ac:dyDescent="0.3">
      <c r="A4" t="s">
        <v>60</v>
      </c>
      <c r="B4" t="s">
        <v>47</v>
      </c>
      <c r="C4">
        <v>2</v>
      </c>
      <c r="D4">
        <v>2</v>
      </c>
      <c r="E4" s="2">
        <v>45999</v>
      </c>
      <c r="F4" t="str">
        <f t="shared" si="0"/>
        <v>Accepted</v>
      </c>
    </row>
    <row r="5" spans="1:6" x14ac:dyDescent="0.3">
      <c r="A5" t="s">
        <v>61</v>
      </c>
      <c r="B5" t="s">
        <v>48</v>
      </c>
      <c r="C5">
        <v>3</v>
      </c>
      <c r="D5">
        <v>3</v>
      </c>
      <c r="E5" s="2">
        <v>46000</v>
      </c>
      <c r="F5" t="str">
        <f t="shared" si="0"/>
        <v>Accepted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9907-52C5-4A98-B106-936E83F4C337}">
  <dimension ref="A1:F22"/>
  <sheetViews>
    <sheetView workbookViewId="0">
      <selection activeCell="F13" sqref="F13"/>
    </sheetView>
  </sheetViews>
  <sheetFormatPr defaultRowHeight="14.4" x14ac:dyDescent="0.3"/>
  <cols>
    <col min="1" max="1" width="14.21875" bestFit="1" customWidth="1"/>
    <col min="2" max="2" width="14.44140625" bestFit="1" customWidth="1"/>
    <col min="3" max="3" width="11.5546875" customWidth="1"/>
    <col min="4" max="4" width="11" customWidth="1"/>
    <col min="5" max="5" width="10.33203125" bestFit="1" customWidth="1"/>
    <col min="6" max="6" width="16" customWidth="1"/>
    <col min="7" max="7" width="10.77734375" bestFit="1" customWidth="1"/>
  </cols>
  <sheetData>
    <row r="1" spans="1:6" x14ac:dyDescent="0.3">
      <c r="A1" t="s">
        <v>76</v>
      </c>
      <c r="B1" t="s">
        <v>62</v>
      </c>
      <c r="C1" t="s">
        <v>0</v>
      </c>
      <c r="D1" t="s">
        <v>77</v>
      </c>
      <c r="E1" t="s">
        <v>78</v>
      </c>
      <c r="F1" t="s">
        <v>79</v>
      </c>
    </row>
    <row r="2" spans="1:6" x14ac:dyDescent="0.3">
      <c r="A2" t="s">
        <v>71</v>
      </c>
      <c r="B2" t="s">
        <v>65</v>
      </c>
      <c r="C2" t="s">
        <v>7</v>
      </c>
      <c r="D2" s="2">
        <v>46027</v>
      </c>
      <c r="E2">
        <v>23000</v>
      </c>
      <c r="F2" t="str">
        <f>IF(E2&gt;0,"pending","paid")</f>
        <v>pending</v>
      </c>
    </row>
    <row r="3" spans="1:6" x14ac:dyDescent="0.3">
      <c r="A3" t="s">
        <v>72</v>
      </c>
      <c r="B3" t="s">
        <v>66</v>
      </c>
      <c r="C3" t="s">
        <v>13</v>
      </c>
      <c r="D3" s="2">
        <v>46028</v>
      </c>
      <c r="E3">
        <v>25000</v>
      </c>
      <c r="F3" t="str">
        <f t="shared" ref="F3:F6" si="0">IF(E3&gt;0,"pending","paid")</f>
        <v>pending</v>
      </c>
    </row>
    <row r="4" spans="1:6" x14ac:dyDescent="0.3">
      <c r="A4" t="s">
        <v>73</v>
      </c>
      <c r="B4" t="s">
        <v>67</v>
      </c>
      <c r="C4" t="s">
        <v>18</v>
      </c>
      <c r="D4" s="2">
        <v>46029</v>
      </c>
      <c r="E4">
        <v>78000</v>
      </c>
      <c r="F4" t="str">
        <f t="shared" si="0"/>
        <v>pending</v>
      </c>
    </row>
    <row r="5" spans="1:6" x14ac:dyDescent="0.3">
      <c r="A5" t="s">
        <v>74</v>
      </c>
      <c r="B5" t="s">
        <v>68</v>
      </c>
      <c r="C5" t="s">
        <v>50</v>
      </c>
      <c r="D5" s="2">
        <v>46030</v>
      </c>
      <c r="E5">
        <v>450120</v>
      </c>
      <c r="F5" t="str">
        <f t="shared" si="0"/>
        <v>pending</v>
      </c>
    </row>
    <row r="6" spans="1:6" x14ac:dyDescent="0.3">
      <c r="A6" t="s">
        <v>75</v>
      </c>
      <c r="B6" t="s">
        <v>69</v>
      </c>
      <c r="C6" t="s">
        <v>51</v>
      </c>
      <c r="D6" s="2">
        <v>46031</v>
      </c>
      <c r="E6">
        <v>5785</v>
      </c>
      <c r="F6" t="str">
        <f t="shared" si="0"/>
        <v>pending</v>
      </c>
    </row>
    <row r="13" spans="1:6" x14ac:dyDescent="0.3">
      <c r="A13" s="8" t="s">
        <v>77</v>
      </c>
      <c r="B13" t="s">
        <v>100</v>
      </c>
    </row>
    <row r="14" spans="1:6" x14ac:dyDescent="0.3">
      <c r="A14" s="8" t="s">
        <v>79</v>
      </c>
      <c r="B14" t="s">
        <v>100</v>
      </c>
    </row>
    <row r="16" spans="1:6" x14ac:dyDescent="0.3">
      <c r="A16" s="8" t="s">
        <v>97</v>
      </c>
      <c r="B16" t="s">
        <v>101</v>
      </c>
    </row>
    <row r="17" spans="1:2" x14ac:dyDescent="0.3">
      <c r="A17" s="9" t="s">
        <v>7</v>
      </c>
      <c r="B17">
        <v>23000</v>
      </c>
    </row>
    <row r="18" spans="1:2" x14ac:dyDescent="0.3">
      <c r="A18" s="9" t="s">
        <v>13</v>
      </c>
      <c r="B18">
        <v>25000</v>
      </c>
    </row>
    <row r="19" spans="1:2" x14ac:dyDescent="0.3">
      <c r="A19" s="9" t="s">
        <v>18</v>
      </c>
      <c r="B19">
        <v>78000</v>
      </c>
    </row>
    <row r="20" spans="1:2" x14ac:dyDescent="0.3">
      <c r="A20" s="9" t="s">
        <v>50</v>
      </c>
      <c r="B20">
        <v>450120</v>
      </c>
    </row>
    <row r="21" spans="1:2" x14ac:dyDescent="0.3">
      <c r="A21" s="9" t="s">
        <v>51</v>
      </c>
      <c r="B21">
        <v>5785</v>
      </c>
    </row>
    <row r="22" spans="1:2" x14ac:dyDescent="0.3">
      <c r="A22" s="9" t="s">
        <v>94</v>
      </c>
      <c r="B22">
        <v>581905</v>
      </c>
    </row>
  </sheetData>
  <phoneticPr fontId="2" type="noConversion"/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8B67-9BA6-48C7-9C7E-1A81568DBE51}">
  <dimension ref="A1:F6"/>
  <sheetViews>
    <sheetView workbookViewId="0">
      <selection activeCell="J26" sqref="J26"/>
    </sheetView>
  </sheetViews>
  <sheetFormatPr defaultRowHeight="14.4" x14ac:dyDescent="0.3"/>
  <cols>
    <col min="1" max="1" width="12.21875" customWidth="1"/>
    <col min="2" max="2" width="11.5546875" customWidth="1"/>
    <col min="4" max="4" width="10" customWidth="1"/>
    <col min="5" max="5" width="16.21875" customWidth="1"/>
    <col min="6" max="6" width="14.109375" customWidth="1"/>
  </cols>
  <sheetData>
    <row r="1" spans="1:6" x14ac:dyDescent="0.3">
      <c r="A1" t="s">
        <v>62</v>
      </c>
      <c r="B1" t="s">
        <v>0</v>
      </c>
      <c r="C1" t="s">
        <v>41</v>
      </c>
      <c r="D1" t="s">
        <v>54</v>
      </c>
      <c r="E1" t="s">
        <v>63</v>
      </c>
      <c r="F1" t="s">
        <v>64</v>
      </c>
    </row>
    <row r="2" spans="1:6" x14ac:dyDescent="0.3">
      <c r="A2" t="s">
        <v>65</v>
      </c>
      <c r="B2" t="s">
        <v>7</v>
      </c>
      <c r="C2" t="s">
        <v>45</v>
      </c>
      <c r="D2" t="s">
        <v>58</v>
      </c>
      <c r="E2">
        <v>23000</v>
      </c>
      <c r="F2" t="str">
        <f>IFERROR(IF(VLOOKUP(C2,'INVOICE REGISTER'!A:H,8,FALSE)=E2,"Matched","Blocked"),"Blocked")</f>
        <v>Blocked</v>
      </c>
    </row>
    <row r="3" spans="1:6" x14ac:dyDescent="0.3">
      <c r="A3" t="s">
        <v>66</v>
      </c>
      <c r="B3" t="s">
        <v>13</v>
      </c>
      <c r="C3" t="s">
        <v>46</v>
      </c>
      <c r="D3" t="s">
        <v>59</v>
      </c>
      <c r="E3">
        <v>50000</v>
      </c>
      <c r="F3" t="str">
        <f>IFERROR(IF(VLOOKUP(C3,'INVOICE REGISTER'!A:H,8,FALSE)=E3,"Matched","Blocked"),"Blocked")</f>
        <v>Blocked</v>
      </c>
    </row>
    <row r="4" spans="1:6" x14ac:dyDescent="0.3">
      <c r="A4" t="s">
        <v>67</v>
      </c>
      <c r="B4" t="s">
        <v>18</v>
      </c>
      <c r="C4" t="s">
        <v>47</v>
      </c>
      <c r="D4" t="s">
        <v>60</v>
      </c>
      <c r="E4">
        <v>55000</v>
      </c>
      <c r="F4" t="str">
        <f>IFERROR(IF(VLOOKUP(C4,'INVOICE REGISTER'!A:H,8,FALSE)=E4,"Matched","Blocked"),"Blocked")</f>
        <v>Blocked</v>
      </c>
    </row>
    <row r="5" spans="1:6" x14ac:dyDescent="0.3">
      <c r="A5" t="s">
        <v>68</v>
      </c>
      <c r="B5" t="s">
        <v>50</v>
      </c>
      <c r="C5" t="s">
        <v>48</v>
      </c>
      <c r="D5" t="s">
        <v>61</v>
      </c>
      <c r="E5">
        <v>58000</v>
      </c>
      <c r="F5" t="str">
        <f>IFERROR(IF(VLOOKUP(C5,'INVOICE REGISTER'!A:H,8,FALSE)=E5,"Matched","Blocked"),"Blocked")</f>
        <v>Blocked</v>
      </c>
    </row>
    <row r="6" spans="1:6" x14ac:dyDescent="0.3">
      <c r="A6" t="s">
        <v>69</v>
      </c>
      <c r="B6" t="s">
        <v>51</v>
      </c>
      <c r="C6" t="s">
        <v>49</v>
      </c>
      <c r="D6" t="s">
        <v>70</v>
      </c>
      <c r="E6">
        <v>45000</v>
      </c>
      <c r="F6" t="str">
        <f>IFERROR(IF(VLOOKUP(C6,'INVOICE REGISTER'!A:H,8,FALSE)=E6,"Matched","Blocked"),"Blocked")</f>
        <v>Blocked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618A-3F10-4999-B2C4-D61D8EE48849}">
  <dimension ref="A1"/>
  <sheetViews>
    <sheetView tabSelected="1" workbookViewId="0">
      <selection activeCell="I21" sqref="I2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VENDOR MASTER</vt:lpstr>
      <vt:lpstr>PURCHASE REQUISITION</vt:lpstr>
      <vt:lpstr>PURCHASE ORDER </vt:lpstr>
      <vt:lpstr>GOODS RECEIPT NOTE(GRN)</vt:lpstr>
      <vt:lpstr>PAYMENT TRACKER</vt:lpstr>
      <vt:lpstr>INVOICE REGISTER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gokul</dc:creator>
  <cp:lastModifiedBy>raj gokul</cp:lastModifiedBy>
  <dcterms:created xsi:type="dcterms:W3CDTF">2025-12-16T06:27:25Z</dcterms:created>
  <dcterms:modified xsi:type="dcterms:W3CDTF">2026-01-27T06:02:57Z</dcterms:modified>
</cp:coreProperties>
</file>